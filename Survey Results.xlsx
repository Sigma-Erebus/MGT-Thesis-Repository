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66925"/>
  <mc:AlternateContent xmlns:mc="http://schemas.openxmlformats.org/markup-compatibility/2006">
    <mc:Choice Requires="x15">
      <x15ac:absPath xmlns:x15ac="http://schemas.microsoft.com/office/spreadsheetml/2010/11/ac" url="C:\Users\Sigma-Erebus\Downloads\"/>
    </mc:Choice>
  </mc:AlternateContent>
  <xr:revisionPtr revIDLastSave="0" documentId="13_ncr:1_{D02D5602-7C04-4E65-9D31-3A997B5C58A7}" xr6:coauthVersionLast="47" xr6:coauthVersionMax="47" xr10:uidLastSave="{00000000-0000-0000-0000-000000000000}"/>
  <bookViews>
    <workbookView xWindow="-120" yWindow="-120" windowWidth="29040" windowHeight="15840" activeTab="2" xr2:uid="{00000000-000D-0000-FFFF-FFFF00000000}"/>
  </bookViews>
  <sheets>
    <sheet name="Iteration 1" sheetId="4" r:id="rId1"/>
    <sheet name="Iteration 2" sheetId="2" r:id="rId2"/>
    <sheet name="Iteration 3" sheetId="3" r:id="rId3"/>
    <sheet name="Iteration Overview" sheetId="1" r:id="rId4"/>
  </sheets>
  <externalReferences>
    <externalReference r:id="rId5"/>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4" i="1" l="1"/>
  <c r="R3" i="1"/>
  <c r="R2" i="1"/>
  <c r="Q4" i="1"/>
  <c r="P4" i="1"/>
  <c r="O4" i="1"/>
  <c r="N4" i="1"/>
  <c r="M4" i="1"/>
  <c r="L4" i="1"/>
  <c r="K4" i="1"/>
  <c r="J4" i="1"/>
  <c r="I4" i="1"/>
  <c r="H4" i="1"/>
  <c r="G4" i="1"/>
  <c r="F4" i="1"/>
  <c r="E4" i="1"/>
  <c r="D4" i="1"/>
  <c r="C4" i="1"/>
  <c r="B4" i="1"/>
  <c r="Q3" i="1"/>
  <c r="P3" i="1"/>
  <c r="O3" i="1"/>
  <c r="N3" i="1"/>
  <c r="M3" i="1"/>
  <c r="L3" i="1"/>
  <c r="K3" i="1"/>
  <c r="J3" i="1"/>
  <c r="I3" i="1"/>
  <c r="H3" i="1"/>
  <c r="G3" i="1"/>
  <c r="F3" i="1"/>
  <c r="E3" i="1"/>
  <c r="D3" i="1"/>
  <c r="C3" i="1"/>
  <c r="B3" i="1"/>
  <c r="Q2" i="1"/>
  <c r="P2" i="1"/>
  <c r="O2" i="1"/>
  <c r="N2" i="1"/>
  <c r="M2" i="1"/>
  <c r="L2" i="1"/>
  <c r="K2" i="1"/>
  <c r="J2" i="1"/>
  <c r="I2" i="1"/>
  <c r="H2" i="1"/>
  <c r="G2" i="1"/>
  <c r="F2" i="1"/>
  <c r="E2" i="1"/>
  <c r="D2" i="1"/>
  <c r="C2" i="1"/>
  <c r="B2" i="1"/>
  <c r="S14" i="3"/>
  <c r="R14" i="3"/>
  <c r="Q14" i="3"/>
  <c r="P14" i="3"/>
  <c r="O14" i="3"/>
  <c r="N14" i="3"/>
  <c r="M14" i="3"/>
  <c r="L14" i="3"/>
  <c r="K14" i="3"/>
  <c r="J14" i="3"/>
  <c r="I14" i="3"/>
  <c r="H14" i="3"/>
  <c r="G14" i="3"/>
  <c r="F14" i="3"/>
  <c r="E14" i="3"/>
  <c r="D14" i="3"/>
  <c r="U12" i="3"/>
  <c r="U11" i="3"/>
  <c r="U10" i="3"/>
  <c r="U9" i="3"/>
  <c r="U8" i="3"/>
  <c r="U7" i="3"/>
  <c r="U6" i="3"/>
  <c r="U5" i="3"/>
  <c r="U4" i="3"/>
  <c r="U3" i="3"/>
  <c r="U2" i="3"/>
  <c r="S12" i="2"/>
  <c r="R12" i="2"/>
  <c r="Q12" i="2"/>
  <c r="P12" i="2"/>
  <c r="O12" i="2"/>
  <c r="N12" i="2"/>
  <c r="M12" i="2"/>
  <c r="L12" i="2"/>
  <c r="K12" i="2"/>
  <c r="J12" i="2"/>
  <c r="I12" i="2"/>
  <c r="H12" i="2"/>
  <c r="G12" i="2"/>
  <c r="F12" i="2"/>
  <c r="E12" i="2"/>
  <c r="D12" i="2"/>
  <c r="U8" i="2"/>
  <c r="U10" i="2"/>
  <c r="U7" i="2"/>
  <c r="U4" i="2"/>
  <c r="U5" i="2"/>
  <c r="U9" i="2"/>
  <c r="U2" i="2"/>
  <c r="U3" i="2"/>
  <c r="U6" i="2"/>
  <c r="U12" i="2" s="1"/>
  <c r="S9" i="4"/>
  <c r="R9" i="4"/>
  <c r="Q9" i="4"/>
  <c r="P9" i="4"/>
  <c r="O9" i="4"/>
  <c r="N9" i="4"/>
  <c r="M9" i="4"/>
  <c r="L9" i="4"/>
  <c r="K9" i="4"/>
  <c r="J9" i="4"/>
  <c r="I9" i="4"/>
  <c r="H9" i="4"/>
  <c r="G9" i="4"/>
  <c r="F9" i="4"/>
  <c r="E9" i="4"/>
  <c r="D9" i="4"/>
  <c r="U5" i="4"/>
  <c r="U3" i="4"/>
  <c r="U6" i="4"/>
  <c r="U7" i="4"/>
  <c r="U4" i="4"/>
  <c r="U2" i="4"/>
  <c r="U9" i="4" s="1"/>
  <c r="U14" i="3" l="1"/>
</calcChain>
</file>

<file path=xl/sharedStrings.xml><?xml version="1.0" encoding="utf-8"?>
<sst xmlns="http://schemas.openxmlformats.org/spreadsheetml/2006/main" count="191" uniqueCount="109">
  <si>
    <t>What is your given participant login name?
(username used when logging into horde.sigma-erebus.com or hermes.sigma-erebus.com)</t>
  </si>
  <si>
    <t>What is your discipline within the team?</t>
  </si>
  <si>
    <t>What is your specialization within the team?</t>
  </si>
  <si>
    <t>1. I think that I would like to use this system frequently</t>
  </si>
  <si>
    <t>2. I found the system unnecessarily complex</t>
  </si>
  <si>
    <t>3. I thought the system was easy to use</t>
  </si>
  <si>
    <t>4. I think that I would need the support of a technical person to be able to use this system</t>
  </si>
  <si>
    <t>5. I found the various functions in this system were well integrated</t>
  </si>
  <si>
    <t>6. I thought there was too much inconsistency in this system</t>
  </si>
  <si>
    <t>7. I would imagine that most people would learn to use this system very quickly</t>
  </si>
  <si>
    <t>8. I found the system very cumbersome to use</t>
  </si>
  <si>
    <t>9. I felt very confident using the system</t>
  </si>
  <si>
    <t>10. I needed to learn a lot of things before I could get going with this system</t>
  </si>
  <si>
    <t>11. I think this system positively impacted my team’s development workflow</t>
  </si>
  <si>
    <t>12. I noticed that the system affected my computer's responsiveness</t>
  </si>
  <si>
    <t>13. I think this system positively impacted my personal development workflow</t>
  </si>
  <si>
    <t>14. There were times when I found it necessary to disable the system (during work hours)</t>
  </si>
  <si>
    <t>15. I could easily tell whether the system was active (either ready to receive tasks or actively running a task)</t>
  </si>
  <si>
    <t>16. There were times where I expected the system to be running when it was not</t>
  </si>
  <si>
    <t>Additional notes:</t>
  </si>
  <si>
    <t>SUS Score</t>
  </si>
  <si>
    <t>User-41</t>
  </si>
  <si>
    <t>Designer</t>
  </si>
  <si>
    <t>Technical Designer</t>
  </si>
  <si>
    <t>I filled this in based mostly on experiences of other team members since I am currently using a Mac and therefore not using the UBA set-up, but I have interacted with it through other people's laptops and have gone through the initial set-up as a team.</t>
  </si>
  <si>
    <t>User-43</t>
  </si>
  <si>
    <t>Programmer</t>
  </si>
  <si>
    <t>Build Engineer</t>
  </si>
  <si>
    <t>I do get exceptions like this where I have to build again for it to work.
Unhandled Exception: System.IO.FileNotFoundException: The specified module could not be found. (Exception from HRESULT: 0x8007007E)
ASSERT: Unhandled exception/crash. Suppress debugger startup and try to report issue instead. This message is here to hopefully see callstack
Permissions do not works.
Working remote it does try to connect and then times out when I close the game. It want to use telemetry. But it can't out of the office.</t>
  </si>
  <si>
    <t>User-46</t>
  </si>
  <si>
    <t>Artist</t>
  </si>
  <si>
    <t>Environment art, tech art</t>
  </si>
  <si>
    <t>User-45</t>
  </si>
  <si>
    <t>Game Design, Level Design, Audio</t>
  </si>
  <si>
    <t>User-42</t>
  </si>
  <si>
    <t>Producer</t>
  </si>
  <si>
    <t>Producer and writer</t>
  </si>
  <si>
    <t>I was wondering how much of my laptop resources were being used, like a graph somewhere. I think this is possible through the dashboard but only for admins.</t>
  </si>
  <si>
    <t>User-44</t>
  </si>
  <si>
    <t>Environment and UI Artist</t>
  </si>
  <si>
    <t>Honestly I even forgot I had it, haven't noticed it messing with my laptop performance, so I guess that's good haha! :)</t>
  </si>
  <si>
    <t>User-07</t>
  </si>
  <si>
    <t>Level Designer</t>
  </si>
  <si>
    <t>I'm not sure if we even used it yet, but otherwise I can connect and disconnect easily. I am aware when the system is active and it is quite user-friendly.</t>
  </si>
  <si>
    <t>User-03</t>
  </si>
  <si>
    <t>Ci cd</t>
  </si>
  <si>
    <t>User-01</t>
  </si>
  <si>
    <t>.</t>
  </si>
  <si>
    <t>I don't know if I'm running it correctly.</t>
  </si>
  <si>
    <t>User-06</t>
  </si>
  <si>
    <t>AI</t>
  </si>
  <si>
    <t>User-05</t>
  </si>
  <si>
    <t>Character Art</t>
  </si>
  <si>
    <t xml:space="preserve">as a va who does not yet have tasks in unreal or shader compiling yet the installation of NetBird VPN has not affected me at all, which in my opinion is good as per the explanation it means that my work is not hindered by the use of the tool while my device might be able to help others who are using it.
</t>
  </si>
  <si>
    <t>UI Design, Tech Design &amp; System Programming</t>
  </si>
  <si>
    <t>Writer/Quest designer</t>
  </si>
  <si>
    <t>Build sometimes doesn't succeed due to Horde. I need to build again for a 2nd time, then it works.</t>
  </si>
  <si>
    <t>User-22</t>
  </si>
  <si>
    <t>Gameplay Programmer</t>
  </si>
  <si>
    <t>The main issue for us was that the log in prompt kept popping up randomly. Sometimes it would not show up the entire day sometimes it would 4-5 times. It also kept causing the build server to not build (this was also not consistent).</t>
  </si>
  <si>
    <t>User-21</t>
  </si>
  <si>
    <t>CICD and Audio</t>
  </si>
  <si>
    <t>We had many automated builds give false failures because Horde was unable to log in. It was inconsistent with those builds; sometimes it would be fine, other times it would fail.
I noticed barely any performance gains when I had to rebuild the project on my laptop, as this would be the only instance where Horde would kick in. Other times, my builds were too small to be distributed.</t>
  </si>
  <si>
    <t>Level Designer - Lead</t>
  </si>
  <si>
    <t>PR lead, Engine &amp; Tools, CI\CD</t>
  </si>
  <si>
    <t>User-23</t>
  </si>
  <si>
    <t>Gameplay , Tools</t>
  </si>
  <si>
    <t>It would be nice to have some insight in how many horde nodes are actually working together on a build</t>
  </si>
  <si>
    <t>AI&amp;Physics</t>
  </si>
  <si>
    <t>Writer</t>
  </si>
  <si>
    <t>Q1</t>
  </si>
  <si>
    <t>Q2</t>
  </si>
  <si>
    <t>Q3</t>
  </si>
  <si>
    <t>Q4</t>
  </si>
  <si>
    <t>Q5</t>
  </si>
  <si>
    <t>Q6</t>
  </si>
  <si>
    <t>Q7</t>
  </si>
  <si>
    <t>Q8</t>
  </si>
  <si>
    <t>Q9</t>
  </si>
  <si>
    <t>Q10</t>
  </si>
  <si>
    <t>Q11</t>
  </si>
  <si>
    <t>Q12</t>
  </si>
  <si>
    <t>Q13</t>
  </si>
  <si>
    <t>Q14</t>
  </si>
  <si>
    <t>Q15</t>
  </si>
  <si>
    <t>Q16</t>
  </si>
  <si>
    <t>Overall SUS</t>
  </si>
  <si>
    <t>Iteration 1</t>
  </si>
  <si>
    <t>Iteration 2</t>
  </si>
  <si>
    <t>Iteration 3</t>
  </si>
  <si>
    <t>Iteration 2 Averages</t>
  </si>
  <si>
    <t>Iteration 1 Averages</t>
  </si>
  <si>
    <t>Iteration 3 Averages</t>
  </si>
  <si>
    <t>User 01</t>
  </si>
  <si>
    <t>User 03</t>
  </si>
  <si>
    <t>User 06</t>
  </si>
  <si>
    <t>User 07</t>
  </si>
  <si>
    <t>User 41</t>
  </si>
  <si>
    <t>User 42</t>
  </si>
  <si>
    <t>User 43</t>
  </si>
  <si>
    <t>User 44</t>
  </si>
  <si>
    <t>User 45</t>
  </si>
  <si>
    <t>User 46</t>
  </si>
  <si>
    <t>User 21</t>
  </si>
  <si>
    <t>User 22</t>
  </si>
  <si>
    <t>User 23</t>
  </si>
  <si>
    <t>User 05</t>
  </si>
  <si>
    <t>With the initial set-up I had a very noticeable hit in performance, which made working in unreal uncomfortable and stuttery.
Initially I did not know how to reduce the limit in the config file, but with help I then installed Unreal Toolbox where I reduced my core amount from max (24) to half (12).
After this I've not noticed any issues with performance (however I believe someone also mentioned that it seems my laptop is not being used for the swarm at all anymore, although I cannot confirm or deny this because I'm not sure how to check, but all I know is that I haven't had any issues since I changed the core amount. Hopefully you can check the stats so you can draw some valuable conclusions)
After installing Unreal Toolbox and working from home I got frequent Windows notifications from unreal toolbox of "connecting to server" which would always fail (which makes sense because I was on my own network), but this frequent pop-up was a bit annoying. I ended up just muting this in Windows settings which made it no problem again.
I have not made any builds myself so therefore I haven't noticed the benefits myself directly, but I know our programmer was happy with the faster build when it was using my laptop</t>
  </si>
  <si>
    <t>I am very positive about the build time from 1,5 hour custom engine to 30 min when I build for Windows.
Problems I've encountered:
- Jenkins build for Linux I have to to set bAllowUBALocalExecutor to false. https://forums.unrealengine.com/t/ue5-6-linux-wrong-cross-compile-toolchain/2540791/14
Error that I got in the past:
Failed to produce item: 
ASSERT: ERROR: Access violation reading at address: 0x0000010CAC00600C
CALLSTACK:
_mi_heap_realloc_zero (alloc.c:710)
ucrtbase.dll: +0x3d189
ucrtbase.dll: +0x14a0c
ucrtbase.dll: +0x1488b
ucrtbase.dll: +0x14844
ucrtbase.dll: +0x14e01
combase.dll: +0x178d3d
combase.dll: +0x178d5d
combase.dll: +0xcaf23
combase.dll: +0xcac8c
combase.dll: +0xcb64a
combase.dll: +0x1d252f
combase.dll: +0x164034
combase.dll: +0x1c361f
combase.dll: +0x1c160d
combase.dll: +0x1bc4a8
C:\Jenkins\Project\Game\Binaries\Linux\Game-Linux-Shipping.sym
- With only Win11 agents + server still sometimes get the error down below:
LogUbaHorde: Warning: Getting Horde server URL failed [Source: Not found]
LogUbaHorde: Error: Failed to create HttpClient for UbaAgent
During cooking/packaging. While building C++ has no issues. I feel like when I am logged in in advance that it will works. Because then it has the correct browser cookies, not sure.
- Issue that is solved:
Unhandled Exception: System.IO.FileNotFoundException: The specified module could not be found. (Exception from HRESULT: 0x8007007E)
ASSERT: Unhandled exception/crash. Suppress debugger startup and try to report issue instead. This message is here to hopefully see callstack
CALLSTACK:
UbaDetours.dll: +0x2b875
KERNEL32.dll: +0x78182
KERNEL32.dll: +0x511f2
KERNEL32.dll: +0x787ed
KERNELBASE.dll: +0x1158bc
ntdll.dll: +0x16a4a3
ntdll.dll: +0x121853
ntdll.dll: +0x16618f
ntdll.dll: +0x12327
ntdll.dll: +0xa961
KERNELBASE.dll: +0xca80a
clr.dll: +0x181078
I made sure there are only Win11 agents + server.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</si>
</sst>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0"/>
      <color rgb="FFFFFFFF"/>
      <name val="Roboto"/>
    </font>
    <font>
      <sz val="10"/>
      <color rgb="FF434343"/>
      <name val="Roboto"/>
    </font>
    <font>
      <b/>
      <sz val="14"/>
      <color rgb="FF434343"/>
      <name val="Roboto"/>
    </font>
    <font>
      <sz val="10"/>
      <color theme="1"/>
      <name val="Arial"/>
      <family val="2"/>
    </font>
    <font>
      <b/>
      <sz val="20"/>
      <color theme="1"/>
      <name val="Calibri"/>
      <family val="2"/>
      <scheme val="minor"/>
    </font>
    <font>
      <sz val="10"/>
      <name val="Arial"/>
      <family val="2"/>
    </font>
    <font>
      <sz val="10"/>
      <name val="Roboto"/>
    </font>
  </fonts>
  <fills count="20">
    <fill>
      <patternFill patternType="none"/>
    </fill>
    <fill>
      <patternFill patternType="gray125"/>
    </fill>
    <fill>
      <patternFill patternType="solid">
        <fgColor rgb="FF5B3F86"/>
        <bgColor indexed="64"/>
      </patternFill>
    </fill>
    <fill>
      <patternFill patternType="solid">
        <fgColor rgb="FFFFFFFF"/>
        <bgColor indexed="64"/>
      </patternFill>
    </fill>
    <fill>
      <patternFill patternType="solid">
        <fgColor rgb="FF6D9EEB"/>
        <bgColor indexed="64"/>
      </patternFill>
    </fill>
    <fill>
      <patternFill patternType="solid">
        <fgColor rgb="FF9AD429"/>
        <bgColor indexed="64"/>
      </patternFill>
    </fill>
    <fill>
      <patternFill patternType="solid">
        <fgColor rgb="FF99D32A"/>
        <bgColor indexed="64"/>
      </patternFill>
    </fill>
    <fill>
      <patternFill patternType="solid">
        <fgColor rgb="FF34A853"/>
        <bgColor indexed="64"/>
      </patternFill>
    </fill>
    <fill>
      <patternFill patternType="solid">
        <fgColor rgb="FFFFFF00"/>
        <bgColor indexed="64"/>
      </patternFill>
    </fill>
    <fill>
      <patternFill patternType="solid">
        <fgColor rgb="FFEA4335"/>
        <bgColor indexed="64"/>
      </patternFill>
    </fill>
    <fill>
      <patternFill patternType="solid">
        <fgColor rgb="FFF8F9FA"/>
        <bgColor indexed="64"/>
      </patternFill>
    </fill>
    <fill>
      <patternFill patternType="solid">
        <fgColor rgb="FF93C47D"/>
        <bgColor indexed="64"/>
      </patternFill>
    </fill>
    <fill>
      <patternFill patternType="solid">
        <fgColor rgb="FFF5A11A"/>
        <bgColor indexed="64"/>
      </patternFill>
    </fill>
    <fill>
      <patternFill patternType="solid">
        <fgColor rgb="FFF4A11B"/>
        <bgColor indexed="64"/>
      </patternFill>
    </fill>
    <fill>
      <patternFill patternType="solid">
        <fgColor rgb="FFE06666"/>
        <bgColor indexed="64"/>
      </patternFill>
    </fill>
    <fill>
      <patternFill patternType="solid">
        <fgColor rgb="FFCCCCCC"/>
        <bgColor indexed="64"/>
      </patternFill>
    </fill>
    <fill>
      <patternFill patternType="solid">
        <fgColor theme="1" tint="0.249977111117893"/>
        <bgColor indexed="64"/>
      </patternFill>
    </fill>
    <fill>
      <patternFill patternType="solid">
        <fgColor rgb="FFF8F9FA"/>
        <bgColor rgb="FF000000"/>
      </patternFill>
    </fill>
    <fill>
      <patternFill patternType="solid">
        <fgColor theme="0" tint="-0.34998626667073579"/>
        <bgColor indexed="64"/>
      </patternFill>
    </fill>
    <fill>
      <patternFill patternType="solid">
        <fgColor theme="0" tint="-0.249977111117893"/>
        <bgColor indexed="64"/>
      </patternFill>
    </fill>
  </fills>
  <borders count="18">
    <border>
      <left/>
      <right/>
      <top/>
      <bottom/>
      <diagonal/>
    </border>
    <border>
      <left style="medium">
        <color rgb="FF5B3F86"/>
      </left>
      <right style="medium">
        <color rgb="FF5B3F86"/>
      </right>
      <top/>
      <bottom style="medium">
        <color rgb="FF442F65"/>
      </bottom>
      <diagonal/>
    </border>
    <border>
      <left style="medium">
        <color rgb="FFCCCCCC"/>
      </left>
      <right style="medium">
        <color rgb="FF5B3F86"/>
      </right>
      <top/>
      <bottom style="medium">
        <color rgb="FF442F65"/>
      </bottom>
      <diagonal/>
    </border>
    <border>
      <left style="medium">
        <color rgb="FFCCCCCC"/>
      </left>
      <right style="medium">
        <color rgb="FF5B3F86"/>
      </right>
      <top/>
      <bottom/>
      <diagonal/>
    </border>
    <border>
      <left/>
      <right/>
      <top/>
      <bottom style="medium">
        <color rgb="FF442F65"/>
      </bottom>
      <diagonal/>
    </border>
    <border>
      <left style="medium">
        <color rgb="FFCCCCCC"/>
      </left>
      <right/>
      <top style="medium">
        <color rgb="FFCCCCCC"/>
      </top>
      <bottom style="medium">
        <color rgb="FFF8F9FA"/>
      </bottom>
      <diagonal/>
    </border>
    <border>
      <left style="medium">
        <color rgb="FFCCCCCC"/>
      </left>
      <right style="medium">
        <color rgb="FFFFFFFF"/>
      </right>
      <top style="medium">
        <color rgb="FFCCCCCC"/>
      </top>
      <bottom style="medium">
        <color rgb="FFF8F9FA"/>
      </bottom>
      <diagonal/>
    </border>
    <border>
      <left style="medium">
        <color rgb="FFCCCCCC"/>
      </left>
      <right style="medium">
        <color rgb="FFF8F9FA"/>
      </right>
      <top/>
      <bottom/>
      <diagonal/>
    </border>
    <border>
      <left style="medium">
        <color rgb="FFCCCCCC"/>
      </left>
      <right style="medium">
        <color rgb="FFF8F9FA"/>
      </right>
      <top style="medium">
        <color rgb="FFCCCCCC"/>
      </top>
      <bottom style="medium">
        <color rgb="FFF8F9FA"/>
      </bottom>
      <diagonal/>
    </border>
    <border>
      <left style="medium">
        <color rgb="FFCCCCCC"/>
      </left>
      <right style="medium">
        <color rgb="FFF8F9FA"/>
      </right>
      <top style="medium">
        <color rgb="FFCCCCCC"/>
      </top>
      <bottom/>
      <diagonal/>
    </border>
    <border>
      <left style="medium">
        <color rgb="FFCCCCCC"/>
      </left>
      <right/>
      <top style="medium">
        <color rgb="FFCCCCCC"/>
      </top>
      <bottom style="medium">
        <color rgb="FF442F65"/>
      </bottom>
      <diagonal/>
    </border>
    <border>
      <left style="medium">
        <color rgb="FFFFFFFF"/>
      </left>
      <right style="medium">
        <color rgb="FFFFFFFF"/>
      </right>
      <top style="medium">
        <color rgb="FF442F65"/>
      </top>
      <bottom style="medium">
        <color rgb="FFF8F9FA"/>
      </bottom>
      <diagonal/>
    </border>
    <border>
      <left style="medium">
        <color rgb="FFCCCCCC"/>
      </left>
      <right style="medium">
        <color rgb="FFFFFFFF"/>
      </right>
      <top style="medium">
        <color rgb="FF442F65"/>
      </top>
      <bottom style="medium">
        <color rgb="FFF8F9FA"/>
      </bottom>
      <diagonal/>
    </border>
    <border>
      <left style="medium">
        <color rgb="FFCCCCCC"/>
      </left>
      <right/>
      <top style="medium">
        <color rgb="FF442F65"/>
      </top>
      <bottom style="medium">
        <color rgb="FFF8F9FA"/>
      </bottom>
      <diagonal/>
    </border>
    <border>
      <left style="medium">
        <color rgb="FFF8F9FA"/>
      </left>
      <right style="medium">
        <color rgb="FFF8F9FA"/>
      </right>
      <top style="medium">
        <color rgb="FFCCCCCC"/>
      </top>
      <bottom style="medium">
        <color rgb="FFF8F9FA"/>
      </bottom>
      <diagonal/>
    </border>
    <border>
      <left style="medium">
        <color rgb="FFFFFFFF"/>
      </left>
      <right style="medium">
        <color rgb="FFFFFFFF"/>
      </right>
      <top style="medium">
        <color rgb="FFCCCCCC"/>
      </top>
      <bottom style="medium">
        <color rgb="FFF8F9FA"/>
      </bottom>
      <diagonal/>
    </border>
    <border>
      <left style="medium">
        <color rgb="FFFFFFFF"/>
      </left>
      <right style="medium">
        <color rgb="FFFFFFFF"/>
      </right>
      <top style="medium">
        <color rgb="FFCCCCCC"/>
      </top>
      <bottom style="medium">
        <color rgb="FF442F65"/>
      </bottom>
      <diagonal/>
    </border>
    <border>
      <left style="medium">
        <color rgb="FFCCCCCC"/>
      </left>
      <right style="medium">
        <color rgb="FFFFFFFF"/>
      </right>
      <top style="medium">
        <color rgb="FFCCCCCC"/>
      </top>
      <bottom style="medium">
        <color rgb="FF442F65"/>
      </bottom>
      <diagonal/>
    </border>
  </borders>
  <cellStyleXfs count="1">
    <xf numFmtId="0" fontId="0" fillId="0" borderId="0"/>
  </cellStyleXfs>
  <cellXfs count="58">
    <xf numFmtId="0" fontId="0" fillId="0" borderId="0" xfId="0"/>
    <xf numFmtId="0" fontId="1" fillId="2" borderId="1" xfId="0" applyFont="1" applyFill="1" applyBorder="1" applyAlignment="1">
      <alignment vertical="center" wrapText="1"/>
    </xf>
    <xf numFmtId="0" fontId="1" fillId="2" borderId="2" xfId="0" applyFont="1" applyFill="1" applyBorder="1" applyAlignment="1">
      <alignment vertical="center" wrapText="1"/>
    </xf>
    <xf numFmtId="0" fontId="1" fillId="2" borderId="3" xfId="0" applyFont="1" applyFill="1" applyBorder="1" applyAlignment="1">
      <alignment vertical="center" wrapText="1"/>
    </xf>
    <xf numFmtId="0" fontId="1" fillId="2" borderId="4" xfId="0" applyFont="1" applyFill="1" applyBorder="1" applyAlignment="1">
      <alignment vertical="center" wrapText="1"/>
    </xf>
    <xf numFmtId="0" fontId="2" fillId="3" borderId="5" xfId="0" applyFont="1" applyFill="1" applyBorder="1" applyAlignment="1">
      <alignment vertical="center" wrapText="1"/>
    </xf>
    <xf numFmtId="0" fontId="2" fillId="3" borderId="6" xfId="0" applyFont="1" applyFill="1" applyBorder="1" applyAlignment="1">
      <alignment vertical="center" wrapText="1"/>
    </xf>
    <xf numFmtId="0" fontId="3" fillId="10" borderId="7" xfId="0" applyFont="1" applyFill="1" applyBorder="1" applyAlignment="1">
      <alignment horizontal="center" vertical="center" wrapText="1"/>
    </xf>
    <xf numFmtId="0" fontId="2" fillId="10" borderId="5" xfId="0" applyFont="1" applyFill="1" applyBorder="1" applyAlignment="1">
      <alignment vertical="center" wrapText="1"/>
    </xf>
    <xf numFmtId="0" fontId="2" fillId="10" borderId="8" xfId="0" applyFont="1" applyFill="1" applyBorder="1" applyAlignment="1">
      <alignment vertical="center" wrapText="1"/>
    </xf>
    <xf numFmtId="2" fontId="5" fillId="0" borderId="0" xfId="0" applyNumberFormat="1" applyFont="1" applyAlignment="1">
      <alignment horizontal="center" vertical="center"/>
    </xf>
    <xf numFmtId="2" fontId="0" fillId="0" borderId="0" xfId="0" applyNumberFormat="1"/>
    <xf numFmtId="0" fontId="1" fillId="16" borderId="0" xfId="0" applyFont="1" applyFill="1" applyAlignment="1">
      <alignment vertical="center" wrapText="1"/>
    </xf>
    <xf numFmtId="0" fontId="2" fillId="3" borderId="0" xfId="0" applyFont="1" applyFill="1" applyAlignment="1">
      <alignment horizontal="center" vertical="center" wrapText="1"/>
    </xf>
    <xf numFmtId="0" fontId="2" fillId="4" borderId="0" xfId="0" applyFont="1" applyFill="1" applyAlignment="1">
      <alignment horizontal="center" vertical="center" wrapText="1"/>
    </xf>
    <xf numFmtId="0" fontId="3" fillId="5" borderId="0" xfId="0" applyFont="1" applyFill="1" applyAlignment="1">
      <alignment horizontal="center" vertical="center" wrapText="1"/>
    </xf>
    <xf numFmtId="0" fontId="3" fillId="6" borderId="0" xfId="0" applyFont="1" applyFill="1" applyAlignment="1">
      <alignment horizontal="center" vertical="center" wrapText="1"/>
    </xf>
    <xf numFmtId="0" fontId="3" fillId="7" borderId="0" xfId="0" applyFont="1" applyFill="1" applyAlignment="1">
      <alignment horizontal="center" vertical="center" wrapText="1"/>
    </xf>
    <xf numFmtId="0" fontId="3" fillId="8" borderId="0" xfId="0" applyFont="1" applyFill="1" applyAlignment="1">
      <alignment horizontal="center" vertical="center" wrapText="1"/>
    </xf>
    <xf numFmtId="0" fontId="3" fillId="9" borderId="0" xfId="0" applyFont="1" applyFill="1" applyAlignment="1">
      <alignment horizontal="center" vertical="center" wrapText="1"/>
    </xf>
    <xf numFmtId="0" fontId="4" fillId="3" borderId="0" xfId="0" applyFont="1" applyFill="1" applyAlignment="1">
      <alignment vertical="center" wrapText="1"/>
    </xf>
    <xf numFmtId="0" fontId="2" fillId="3" borderId="0" xfId="0" applyFont="1" applyFill="1" applyAlignment="1">
      <alignment vertical="center" wrapText="1"/>
    </xf>
    <xf numFmtId="0" fontId="3" fillId="10" borderId="0" xfId="0" applyFont="1" applyFill="1" applyAlignment="1">
      <alignment horizontal="center" vertical="center" wrapText="1"/>
    </xf>
    <xf numFmtId="0" fontId="2" fillId="10" borderId="0" xfId="0" applyFont="1" applyFill="1" applyAlignment="1">
      <alignment horizontal="center" vertical="center" wrapText="1"/>
    </xf>
    <xf numFmtId="0" fontId="2" fillId="11" borderId="0" xfId="0" applyFont="1" applyFill="1" applyAlignment="1">
      <alignment horizontal="center" vertical="center" wrapText="1"/>
    </xf>
    <xf numFmtId="0" fontId="3" fillId="12" borderId="0" xfId="0" applyFont="1" applyFill="1" applyAlignment="1">
      <alignment horizontal="center" vertical="center" wrapText="1"/>
    </xf>
    <xf numFmtId="0" fontId="3" fillId="13" borderId="0" xfId="0" applyFont="1" applyFill="1" applyAlignment="1">
      <alignment horizontal="center" vertical="center" wrapText="1"/>
    </xf>
    <xf numFmtId="0" fontId="2" fillId="10" borderId="0" xfId="0" applyFont="1" applyFill="1" applyAlignment="1">
      <alignment vertical="center" wrapText="1"/>
    </xf>
    <xf numFmtId="0" fontId="2" fillId="14" borderId="0" xfId="0" applyFont="1" applyFill="1" applyAlignment="1">
      <alignment horizontal="center" vertical="center" wrapText="1"/>
    </xf>
    <xf numFmtId="0" fontId="2" fillId="15" borderId="0" xfId="0" applyFont="1" applyFill="1" applyAlignment="1">
      <alignment horizontal="center" vertical="center" wrapText="1"/>
    </xf>
    <xf numFmtId="0" fontId="2" fillId="3" borderId="11" xfId="0" applyFont="1" applyFill="1" applyBorder="1" applyAlignment="1">
      <alignment vertical="center" wrapText="1"/>
    </xf>
    <xf numFmtId="0" fontId="2" fillId="3" borderId="12" xfId="0" applyFont="1" applyFill="1" applyBorder="1" applyAlignment="1">
      <alignment vertical="center" wrapText="1"/>
    </xf>
    <xf numFmtId="0" fontId="2" fillId="3" borderId="13" xfId="0" applyFont="1" applyFill="1" applyBorder="1" applyAlignment="1">
      <alignment vertical="center" wrapText="1"/>
    </xf>
    <xf numFmtId="0" fontId="3" fillId="3" borderId="0" xfId="0" applyFont="1" applyFill="1" applyAlignment="1">
      <alignment horizontal="center" vertical="center" wrapText="1"/>
    </xf>
    <xf numFmtId="0" fontId="2" fillId="10" borderId="14" xfId="0" applyFont="1" applyFill="1" applyBorder="1" applyAlignment="1">
      <alignment vertical="center" wrapText="1"/>
    </xf>
    <xf numFmtId="0" fontId="4" fillId="10" borderId="8" xfId="0" applyFont="1" applyFill="1" applyBorder="1" applyAlignment="1">
      <alignment vertical="center" wrapText="1"/>
    </xf>
    <xf numFmtId="0" fontId="2" fillId="3" borderId="15" xfId="0" applyFont="1" applyFill="1" applyBorder="1" applyAlignment="1">
      <alignment vertical="center" wrapText="1"/>
    </xf>
    <xf numFmtId="0" fontId="3" fillId="10" borderId="8" xfId="0" applyFont="1" applyFill="1" applyBorder="1" applyAlignment="1">
      <alignment horizontal="center" vertical="center" wrapText="1"/>
    </xf>
    <xf numFmtId="0" fontId="2" fillId="10" borderId="15" xfId="0" applyFont="1" applyFill="1" applyBorder="1" applyAlignment="1">
      <alignment vertical="center" wrapText="1"/>
    </xf>
    <xf numFmtId="0" fontId="2" fillId="3" borderId="14" xfId="0" applyFont="1" applyFill="1" applyBorder="1" applyAlignment="1">
      <alignment vertical="center" wrapText="1"/>
    </xf>
    <xf numFmtId="0" fontId="2" fillId="10" borderId="16" xfId="0" applyFont="1" applyFill="1" applyBorder="1" applyAlignment="1">
      <alignment vertical="center" wrapText="1"/>
    </xf>
    <xf numFmtId="0" fontId="2" fillId="10" borderId="6" xfId="0" applyFont="1" applyFill="1" applyBorder="1" applyAlignment="1">
      <alignment vertical="center" wrapText="1"/>
    </xf>
    <xf numFmtId="0" fontId="2" fillId="3" borderId="8" xfId="0" applyFont="1" applyFill="1" applyBorder="1" applyAlignment="1">
      <alignment vertical="center" wrapText="1"/>
    </xf>
    <xf numFmtId="0" fontId="2" fillId="10" borderId="17" xfId="0" applyFont="1" applyFill="1" applyBorder="1" applyAlignment="1">
      <alignment vertical="center" wrapText="1"/>
    </xf>
    <xf numFmtId="0" fontId="2" fillId="10" borderId="10" xfId="0" applyFont="1" applyFill="1" applyBorder="1" applyAlignment="1">
      <alignment vertical="center" wrapText="1"/>
    </xf>
    <xf numFmtId="0" fontId="4" fillId="3" borderId="8" xfId="0" applyFont="1" applyFill="1" applyBorder="1" applyAlignment="1">
      <alignment vertical="center" wrapText="1"/>
    </xf>
    <xf numFmtId="0" fontId="4" fillId="10" borderId="17" xfId="0" applyFont="1" applyFill="1" applyBorder="1" applyAlignment="1">
      <alignment vertical="center" wrapText="1"/>
    </xf>
    <xf numFmtId="0" fontId="7" fillId="3" borderId="12" xfId="0" applyFont="1" applyFill="1" applyBorder="1" applyAlignment="1">
      <alignment vertical="center" wrapText="1"/>
    </xf>
    <xf numFmtId="0" fontId="6" fillId="10" borderId="8" xfId="0" applyFont="1" applyFill="1" applyBorder="1" applyAlignment="1">
      <alignment vertical="center" wrapText="1"/>
    </xf>
    <xf numFmtId="0" fontId="7" fillId="3" borderId="6" xfId="0" applyFont="1" applyFill="1" applyBorder="1" applyAlignment="1">
      <alignment vertical="center" wrapText="1"/>
    </xf>
    <xf numFmtId="0" fontId="3" fillId="10" borderId="9" xfId="0" applyFont="1" applyFill="1" applyBorder="1" applyAlignment="1">
      <alignment horizontal="center" vertical="center" wrapText="1"/>
    </xf>
    <xf numFmtId="0" fontId="6" fillId="10" borderId="0" xfId="0" applyFont="1" applyFill="1" applyAlignment="1">
      <alignment vertical="center" wrapText="1"/>
    </xf>
    <xf numFmtId="2" fontId="0" fillId="0" borderId="0" xfId="0" applyNumberFormat="1" applyAlignment="1">
      <alignment horizontal="center" vertical="center"/>
    </xf>
    <xf numFmtId="0" fontId="3" fillId="17" borderId="0" xfId="0" applyFont="1" applyFill="1" applyAlignment="1">
      <alignment horizontal="center" vertical="center" wrapText="1"/>
    </xf>
    <xf numFmtId="0" fontId="3" fillId="0" borderId="0" xfId="0" applyFont="1" applyAlignment="1">
      <alignment horizontal="center" vertical="center" wrapText="1"/>
    </xf>
    <xf numFmtId="0" fontId="0" fillId="18" borderId="0" xfId="0" applyFill="1"/>
    <xf numFmtId="0" fontId="0" fillId="19" borderId="0" xfId="0" applyFill="1"/>
    <xf numFmtId="0" fontId="0" fillId="18" borderId="0" xfId="0" applyFill="1" applyAlignment="1">
      <alignment vertical="center"/>
    </xf>
  </cellXfs>
  <cellStyles count="1">
    <cellStyle name="Normal" xfId="0" builtinId="0"/>
  </cellStyles>
  <dxfs count="55">
    <dxf>
      <font>
        <b/>
        <i val="0"/>
        <strike val="0"/>
        <condense val="0"/>
        <extend val="0"/>
        <outline val="0"/>
        <shadow val="0"/>
        <u val="none"/>
        <vertAlign val="baseline"/>
        <sz val="14"/>
        <color rgb="FF434343"/>
        <name val="Roboto"/>
        <scheme val="none"/>
      </font>
      <numFmt numFmtId="0" formatCode="General"/>
      <fill>
        <patternFill patternType="solid">
          <fgColor indexed="64"/>
          <bgColor rgb="FFF8F9FA"/>
        </patternFill>
      </fill>
      <alignment horizontal="center" vertical="center" textRotation="0" wrapText="1" indent="0" justifyLastLine="0" shrinkToFit="0" readingOrder="0"/>
      <border diagonalUp="0" diagonalDown="0">
        <left style="medium">
          <color rgb="FFCCCCCC"/>
        </left>
        <right style="medium">
          <color rgb="FFF8F9FA"/>
        </right>
        <top style="medium">
          <color rgb="FFCCCCCC"/>
        </top>
        <bottom style="medium">
          <color rgb="FFF8F9FA"/>
        </bottom>
      </border>
    </dxf>
    <dxf>
      <font>
        <strike val="0"/>
        <outline val="0"/>
        <shadow val="0"/>
        <u val="none"/>
        <vertAlign val="baseline"/>
        <sz val="10"/>
        <color auto="1"/>
      </font>
    </dxf>
    <dxf>
      <font>
        <b/>
        <strike val="0"/>
        <outline val="0"/>
        <shadow val="0"/>
        <u val="none"/>
        <vertAlign val="baseline"/>
        <sz val="14"/>
        <color rgb="FF434343"/>
        <name val="Roboto"/>
        <scheme val="none"/>
      </font>
      <alignment horizontal="center" vertical="center" textRotation="0" wrapText="1" indent="0" justifyLastLine="0" shrinkToFit="0" readingOrder="0"/>
    </dxf>
    <dxf>
      <font>
        <b/>
        <strike val="0"/>
        <outline val="0"/>
        <shadow val="0"/>
        <u val="none"/>
        <vertAlign val="baseline"/>
        <sz val="14"/>
        <color rgb="FF434343"/>
        <name val="Roboto"/>
        <scheme val="none"/>
      </font>
      <alignment horizontal="center" vertical="center" textRotation="0" wrapText="1" indent="0" justifyLastLine="0" shrinkToFit="0" readingOrder="0"/>
    </dxf>
    <dxf>
      <font>
        <b/>
        <strike val="0"/>
        <outline val="0"/>
        <shadow val="0"/>
        <u val="none"/>
        <vertAlign val="baseline"/>
        <sz val="14"/>
        <color rgb="FF434343"/>
        <name val="Roboto"/>
        <scheme val="none"/>
      </font>
      <alignment horizontal="center" vertical="center" textRotation="0" wrapText="1" indent="0" justifyLastLine="0" shrinkToFit="0" readingOrder="0"/>
    </dxf>
    <dxf>
      <font>
        <b/>
        <strike val="0"/>
        <outline val="0"/>
        <shadow val="0"/>
        <u val="none"/>
        <vertAlign val="baseline"/>
        <sz val="14"/>
        <color rgb="FF434343"/>
        <name val="Roboto"/>
        <scheme val="none"/>
      </font>
      <alignment horizontal="center" vertical="center" textRotation="0" wrapText="1" indent="0" justifyLastLine="0" shrinkToFit="0" readingOrder="0"/>
    </dxf>
    <dxf>
      <font>
        <b/>
        <strike val="0"/>
        <outline val="0"/>
        <shadow val="0"/>
        <u val="none"/>
        <vertAlign val="baseline"/>
        <sz val="14"/>
        <color rgb="FF434343"/>
        <name val="Roboto"/>
        <scheme val="none"/>
      </font>
      <alignment horizontal="center" vertical="center" textRotation="0" wrapText="1" indent="0" justifyLastLine="0" shrinkToFit="0" readingOrder="0"/>
    </dxf>
    <dxf>
      <font>
        <b/>
        <strike val="0"/>
        <outline val="0"/>
        <shadow val="0"/>
        <u val="none"/>
        <vertAlign val="baseline"/>
        <sz val="14"/>
        <color rgb="FF434343"/>
        <name val="Roboto"/>
        <scheme val="none"/>
      </font>
      <alignment horizontal="center" vertical="center" textRotation="0" wrapText="1" indent="0" justifyLastLine="0" shrinkToFit="0" readingOrder="0"/>
    </dxf>
    <dxf>
      <font>
        <b/>
        <strike val="0"/>
        <outline val="0"/>
        <shadow val="0"/>
        <u val="none"/>
        <vertAlign val="baseline"/>
        <sz val="14"/>
        <color rgb="FF434343"/>
        <name val="Roboto"/>
        <scheme val="none"/>
      </font>
      <alignment horizontal="center" vertical="center" textRotation="0" wrapText="1" indent="0" justifyLastLine="0" shrinkToFit="0" readingOrder="0"/>
    </dxf>
    <dxf>
      <font>
        <b/>
        <strike val="0"/>
        <outline val="0"/>
        <shadow val="0"/>
        <u val="none"/>
        <vertAlign val="baseline"/>
        <sz val="14"/>
        <color rgb="FF434343"/>
        <name val="Roboto"/>
        <scheme val="none"/>
      </font>
      <alignment horizontal="center" vertical="center" textRotation="0" wrapText="1" indent="0" justifyLastLine="0" shrinkToFit="0" readingOrder="0"/>
    </dxf>
    <dxf>
      <font>
        <b/>
        <strike val="0"/>
        <outline val="0"/>
        <shadow val="0"/>
        <u val="none"/>
        <vertAlign val="baseline"/>
        <sz val="14"/>
        <color rgb="FF434343"/>
        <name val="Roboto"/>
        <scheme val="none"/>
      </font>
      <alignment horizontal="center" vertical="center" textRotation="0" wrapText="1" indent="0" justifyLastLine="0" shrinkToFit="0" readingOrder="0"/>
    </dxf>
    <dxf>
      <font>
        <b/>
        <strike val="0"/>
        <outline val="0"/>
        <shadow val="0"/>
        <u val="none"/>
        <vertAlign val="baseline"/>
        <sz val="14"/>
        <color rgb="FF434343"/>
        <name val="Roboto"/>
        <scheme val="none"/>
      </font>
      <alignment horizontal="center" vertical="center" textRotation="0" wrapText="1" indent="0" justifyLastLine="0" shrinkToFit="0" readingOrder="0"/>
    </dxf>
    <dxf>
      <font>
        <b/>
        <strike val="0"/>
        <outline val="0"/>
        <shadow val="0"/>
        <u val="none"/>
        <vertAlign val="baseline"/>
        <sz val="14"/>
        <color rgb="FF434343"/>
        <name val="Roboto"/>
        <scheme val="none"/>
      </font>
      <alignment horizontal="center" vertical="center" textRotation="0" wrapText="1" indent="0" justifyLastLine="0" shrinkToFit="0" readingOrder="0"/>
    </dxf>
    <dxf>
      <font>
        <b/>
        <strike val="0"/>
        <outline val="0"/>
        <shadow val="0"/>
        <u val="none"/>
        <vertAlign val="baseline"/>
        <sz val="14"/>
        <color rgb="FF434343"/>
        <name val="Roboto"/>
        <scheme val="none"/>
      </font>
      <alignment horizontal="center" vertical="center" textRotation="0" wrapText="1" indent="0" justifyLastLine="0" shrinkToFit="0" readingOrder="0"/>
    </dxf>
    <dxf>
      <font>
        <b/>
        <strike val="0"/>
        <outline val="0"/>
        <shadow val="0"/>
        <u val="none"/>
        <vertAlign val="baseline"/>
        <sz val="14"/>
        <color rgb="FF434343"/>
        <name val="Roboto"/>
        <scheme val="none"/>
      </font>
      <alignment horizontal="center" vertical="center" textRotation="0" wrapText="1" indent="0" justifyLastLine="0" shrinkToFit="0" readingOrder="0"/>
    </dxf>
    <dxf>
      <font>
        <b/>
        <strike val="0"/>
        <outline val="0"/>
        <shadow val="0"/>
        <u val="none"/>
        <vertAlign val="baseline"/>
        <sz val="14"/>
        <color rgb="FF434343"/>
        <name val="Roboto"/>
        <scheme val="none"/>
      </font>
      <alignment horizontal="center" vertical="center" textRotation="0" wrapText="1" indent="0" justifyLastLine="0" shrinkToFit="0" readingOrder="0"/>
    </dxf>
    <dxf>
      <font>
        <b/>
        <strike val="0"/>
        <outline val="0"/>
        <shadow val="0"/>
        <u val="none"/>
        <vertAlign val="baseline"/>
        <sz val="14"/>
        <color rgb="FF434343"/>
        <name val="Roboto"/>
        <scheme val="none"/>
      </font>
      <alignment horizontal="center" vertical="center" textRotation="0" wrapText="1" indent="0" justifyLastLine="0" shrinkToFit="0" readingOrder="0"/>
    </dxf>
    <dxf>
      <font>
        <b/>
        <strike val="0"/>
        <outline val="0"/>
        <shadow val="0"/>
        <u val="none"/>
        <vertAlign val="baseline"/>
        <sz val="14"/>
        <color rgb="FF434343"/>
        <name val="Roboto"/>
        <scheme val="none"/>
      </font>
      <alignment horizontal="center" vertical="center" textRotation="0" wrapText="1" indent="0" justifyLastLine="0" shrinkToFit="0" readingOrder="0"/>
    </dxf>
    <dxf>
      <border outline="0">
        <top style="medium">
          <color rgb="FFCCCCCC"/>
        </top>
      </border>
    </dxf>
    <dxf>
      <border outline="0">
        <top style="medium">
          <color rgb="FF442F65"/>
        </top>
        <bottom style="medium">
          <color rgb="FF442F65"/>
        </bottom>
      </border>
    </dxf>
    <dxf>
      <border outline="0">
        <bottom style="medium">
          <color rgb="FF442F65"/>
        </bottom>
      </border>
    </dxf>
    <dxf>
      <font>
        <b val="0"/>
        <i val="0"/>
        <strike val="0"/>
        <condense val="0"/>
        <extend val="0"/>
        <outline val="0"/>
        <shadow val="0"/>
        <u val="none"/>
        <vertAlign val="baseline"/>
        <sz val="10"/>
        <color rgb="FFFFFFFF"/>
        <name val="Roboto"/>
        <scheme val="none"/>
      </font>
      <fill>
        <patternFill patternType="solid">
          <fgColor indexed="64"/>
          <bgColor rgb="FF5B3F86"/>
        </patternFill>
      </fill>
      <alignment horizontal="general" vertical="center" textRotation="0" wrapText="1" indent="0" justifyLastLine="0" shrinkToFit="0" readingOrder="0"/>
    </dxf>
    <dxf>
      <font>
        <b/>
        <i val="0"/>
        <strike val="0"/>
        <condense val="0"/>
        <extend val="0"/>
        <outline val="0"/>
        <shadow val="0"/>
        <u val="none"/>
        <vertAlign val="baseline"/>
        <sz val="14"/>
        <color rgb="FF434343"/>
        <name val="Roboto"/>
        <scheme val="none"/>
      </font>
      <numFmt numFmtId="0" formatCode="General"/>
      <fill>
        <patternFill patternType="solid">
          <fgColor indexed="64"/>
          <bgColor rgb="FFF8F9FA"/>
        </patternFill>
      </fill>
      <alignment horizontal="center" vertical="center" textRotation="0" wrapText="1" indent="0" justifyLastLine="0" shrinkToFit="0" readingOrder="0"/>
      <border diagonalUp="0" diagonalDown="0">
        <left style="medium">
          <color rgb="FFCCCCCC"/>
        </left>
        <right style="medium">
          <color rgb="FFF8F9FA"/>
        </right>
        <top style="medium">
          <color rgb="FFCCCCCC"/>
        </top>
        <bottom style="medium">
          <color rgb="FFF8F9FA"/>
        </bottom>
      </border>
    </dxf>
    <dxf>
      <font>
        <b/>
        <strike val="0"/>
        <outline val="0"/>
        <shadow val="0"/>
        <u val="none"/>
        <vertAlign val="baseline"/>
        <sz val="14"/>
        <color rgb="FF434343"/>
        <name val="Roboto"/>
        <scheme val="none"/>
      </font>
      <alignment horizontal="center" vertical="center" textRotation="0" wrapText="1" indent="0" justifyLastLine="0" shrinkToFit="0" readingOrder="0"/>
    </dxf>
    <dxf>
      <font>
        <b/>
        <strike val="0"/>
        <outline val="0"/>
        <shadow val="0"/>
        <u val="none"/>
        <vertAlign val="baseline"/>
        <sz val="14"/>
        <color rgb="FF434343"/>
        <name val="Roboto"/>
        <scheme val="none"/>
      </font>
      <alignment horizontal="center" vertical="center" textRotation="0" wrapText="1" indent="0" justifyLastLine="0" shrinkToFit="0" readingOrder="0"/>
    </dxf>
    <dxf>
      <font>
        <b/>
        <strike val="0"/>
        <outline val="0"/>
        <shadow val="0"/>
        <u val="none"/>
        <vertAlign val="baseline"/>
        <sz val="14"/>
        <color rgb="FF434343"/>
        <name val="Roboto"/>
        <scheme val="none"/>
      </font>
      <alignment horizontal="center" vertical="center" textRotation="0" wrapText="1" indent="0" justifyLastLine="0" shrinkToFit="0" readingOrder="0"/>
    </dxf>
    <dxf>
      <font>
        <b/>
        <strike val="0"/>
        <outline val="0"/>
        <shadow val="0"/>
        <u val="none"/>
        <vertAlign val="baseline"/>
        <sz val="14"/>
        <color rgb="FF434343"/>
        <name val="Roboto"/>
        <scheme val="none"/>
      </font>
      <alignment horizontal="center" vertical="center" textRotation="0" wrapText="1" indent="0" justifyLastLine="0" shrinkToFit="0" readingOrder="0"/>
    </dxf>
    <dxf>
      <font>
        <b/>
        <strike val="0"/>
        <outline val="0"/>
        <shadow val="0"/>
        <u val="none"/>
        <vertAlign val="baseline"/>
        <sz val="14"/>
        <color rgb="FF434343"/>
        <name val="Roboto"/>
        <scheme val="none"/>
      </font>
      <alignment horizontal="center" vertical="center" textRotation="0" wrapText="1" indent="0" justifyLastLine="0" shrinkToFit="0" readingOrder="0"/>
    </dxf>
    <dxf>
      <font>
        <b/>
        <strike val="0"/>
        <outline val="0"/>
        <shadow val="0"/>
        <u val="none"/>
        <vertAlign val="baseline"/>
        <sz val="14"/>
        <color rgb="FF434343"/>
        <name val="Roboto"/>
        <scheme val="none"/>
      </font>
      <alignment horizontal="center" vertical="center" textRotation="0" wrapText="1" indent="0" justifyLastLine="0" shrinkToFit="0" readingOrder="0"/>
    </dxf>
    <dxf>
      <font>
        <b/>
        <strike val="0"/>
        <outline val="0"/>
        <shadow val="0"/>
        <u val="none"/>
        <vertAlign val="baseline"/>
        <sz val="14"/>
        <color rgb="FF434343"/>
        <name val="Roboto"/>
        <scheme val="none"/>
      </font>
      <alignment horizontal="center" vertical="center" textRotation="0" wrapText="1" indent="0" justifyLastLine="0" shrinkToFit="0" readingOrder="0"/>
    </dxf>
    <dxf>
      <font>
        <b/>
        <strike val="0"/>
        <outline val="0"/>
        <shadow val="0"/>
        <u val="none"/>
        <vertAlign val="baseline"/>
        <sz val="14"/>
        <color rgb="FF434343"/>
        <name val="Roboto"/>
        <scheme val="none"/>
      </font>
      <alignment horizontal="center" vertical="center" textRotation="0" wrapText="1" indent="0" justifyLastLine="0" shrinkToFit="0" readingOrder="0"/>
    </dxf>
    <dxf>
      <font>
        <b/>
        <strike val="0"/>
        <outline val="0"/>
        <shadow val="0"/>
        <u val="none"/>
        <vertAlign val="baseline"/>
        <sz val="14"/>
        <color rgb="FF434343"/>
        <name val="Roboto"/>
        <scheme val="none"/>
      </font>
      <alignment horizontal="center" vertical="center" textRotation="0" wrapText="1" indent="0" justifyLastLine="0" shrinkToFit="0" readingOrder="0"/>
    </dxf>
    <dxf>
      <font>
        <b/>
        <strike val="0"/>
        <outline val="0"/>
        <shadow val="0"/>
        <u val="none"/>
        <vertAlign val="baseline"/>
        <sz val="14"/>
        <color rgb="FF434343"/>
        <name val="Roboto"/>
        <scheme val="none"/>
      </font>
      <alignment horizontal="center" vertical="center" textRotation="0" wrapText="1" indent="0" justifyLastLine="0" shrinkToFit="0" readingOrder="0"/>
    </dxf>
    <dxf>
      <font>
        <b/>
        <strike val="0"/>
        <outline val="0"/>
        <shadow val="0"/>
        <u val="none"/>
        <vertAlign val="baseline"/>
        <sz val="14"/>
        <color rgb="FF434343"/>
        <name val="Roboto"/>
        <scheme val="none"/>
      </font>
      <alignment horizontal="center" vertical="center" textRotation="0" wrapText="1" indent="0" justifyLastLine="0" shrinkToFit="0" readingOrder="0"/>
    </dxf>
    <dxf>
      <font>
        <b/>
        <strike val="0"/>
        <outline val="0"/>
        <shadow val="0"/>
        <u val="none"/>
        <vertAlign val="baseline"/>
        <sz val="14"/>
        <color rgb="FF434343"/>
        <name val="Roboto"/>
        <scheme val="none"/>
      </font>
      <alignment horizontal="center" vertical="center" textRotation="0" wrapText="1" indent="0" justifyLastLine="0" shrinkToFit="0" readingOrder="0"/>
    </dxf>
    <dxf>
      <font>
        <b/>
        <strike val="0"/>
        <outline val="0"/>
        <shadow val="0"/>
        <u val="none"/>
        <vertAlign val="baseline"/>
        <sz val="14"/>
        <color rgb="FF434343"/>
        <name val="Roboto"/>
        <scheme val="none"/>
      </font>
      <alignment horizontal="center" vertical="center" textRotation="0" wrapText="1" indent="0" justifyLastLine="0" shrinkToFit="0" readingOrder="0"/>
    </dxf>
    <dxf>
      <font>
        <b/>
        <strike val="0"/>
        <outline val="0"/>
        <shadow val="0"/>
        <u val="none"/>
        <vertAlign val="baseline"/>
        <sz val="14"/>
        <color rgb="FF434343"/>
        <name val="Roboto"/>
        <scheme val="none"/>
      </font>
      <alignment horizontal="center" vertical="center" textRotation="0" wrapText="1" indent="0" justifyLastLine="0" shrinkToFit="0" readingOrder="0"/>
    </dxf>
    <dxf>
      <font>
        <b/>
        <strike val="0"/>
        <outline val="0"/>
        <shadow val="0"/>
        <u val="none"/>
        <vertAlign val="baseline"/>
        <sz val="14"/>
        <color rgb="FF434343"/>
        <name val="Roboto"/>
        <scheme val="none"/>
      </font>
      <alignment horizontal="center" vertical="center" textRotation="0" wrapText="1" indent="0" justifyLastLine="0" shrinkToFit="0" readingOrder="0"/>
    </dxf>
    <dxf>
      <font>
        <b/>
        <strike val="0"/>
        <outline val="0"/>
        <shadow val="0"/>
        <u val="none"/>
        <vertAlign val="baseline"/>
        <sz val="14"/>
        <color rgb="FF434343"/>
        <name val="Roboto"/>
        <scheme val="none"/>
      </font>
      <alignment horizontal="center" vertical="center" textRotation="0" wrapText="1" indent="0" justifyLastLine="0" shrinkToFit="0" readingOrder="0"/>
    </dxf>
    <dxf>
      <border outline="0">
        <top style="medium">
          <color rgb="FFCCCCCC"/>
        </top>
      </border>
    </dxf>
    <dxf>
      <border outline="0">
        <top style="medium">
          <color rgb="FF442F65"/>
        </top>
        <bottom style="medium">
          <color rgb="FF442F65"/>
        </bottom>
      </border>
    </dxf>
    <dxf>
      <border outline="0">
        <bottom style="medium">
          <color rgb="FF442F65"/>
        </bottom>
      </border>
    </dxf>
    <dxf>
      <font>
        <b val="0"/>
        <i val="0"/>
        <strike val="0"/>
        <condense val="0"/>
        <extend val="0"/>
        <outline val="0"/>
        <shadow val="0"/>
        <u val="none"/>
        <vertAlign val="baseline"/>
        <sz val="10"/>
        <color rgb="FFFFFFFF"/>
        <name val="Roboto"/>
        <scheme val="none"/>
      </font>
      <fill>
        <patternFill patternType="solid">
          <fgColor indexed="64"/>
          <bgColor rgb="FF5B3F86"/>
        </patternFill>
      </fill>
      <alignment horizontal="general" vertical="center" textRotation="0" wrapText="1" indent="0" justifyLastLine="0" shrinkToFit="0" readingOrder="0"/>
    </dxf>
    <dxf>
      <font>
        <b/>
        <i val="0"/>
        <strike val="0"/>
        <condense val="0"/>
        <extend val="0"/>
        <outline val="0"/>
        <shadow val="0"/>
        <u val="none"/>
        <vertAlign val="baseline"/>
        <sz val="14"/>
        <color rgb="FF434343"/>
        <name val="Roboto"/>
        <scheme val="none"/>
      </font>
      <numFmt numFmtId="0" formatCode="General"/>
      <fill>
        <patternFill patternType="solid">
          <fgColor indexed="64"/>
          <bgColor rgb="FFF8F9FA"/>
        </patternFill>
      </fill>
      <alignment horizontal="center" vertical="center" textRotation="0" wrapText="1" indent="0" justifyLastLine="0" shrinkToFit="0" readingOrder="0"/>
    </dxf>
    <dxf>
      <font>
        <b val="0"/>
        <i val="0"/>
        <strike val="0"/>
        <condense val="0"/>
        <extend val="0"/>
        <outline val="0"/>
        <shadow val="0"/>
        <u val="none"/>
        <vertAlign val="baseline"/>
        <sz val="10"/>
        <color rgb="FF434343"/>
        <name val="Roboto"/>
        <scheme val="none"/>
      </font>
      <fill>
        <patternFill patternType="solid">
          <fgColor indexed="64"/>
          <bgColor rgb="FFF8F9FA"/>
        </patternFill>
      </fill>
      <alignment horizontal="general" vertical="center" textRotation="0" wrapText="1" indent="0" justifyLastLine="0" shrinkToFit="0" readingOrder="0"/>
    </dxf>
    <dxf>
      <font>
        <b/>
        <i val="0"/>
        <strike val="0"/>
        <condense val="0"/>
        <extend val="0"/>
        <outline val="0"/>
        <shadow val="0"/>
        <u val="none"/>
        <vertAlign val="baseline"/>
        <sz val="14"/>
        <color rgb="FF434343"/>
        <name val="Roboto"/>
        <scheme val="none"/>
      </font>
      <fill>
        <patternFill patternType="solid">
          <fgColor indexed="64"/>
          <bgColor rgb="FF34A853"/>
        </patternFill>
      </fill>
      <alignment horizontal="center" vertical="center" textRotation="0" wrapText="1" indent="0" justifyLastLine="0" shrinkToFit="0" readingOrder="0"/>
    </dxf>
    <dxf>
      <font>
        <b/>
        <i val="0"/>
        <strike val="0"/>
        <condense val="0"/>
        <extend val="0"/>
        <outline val="0"/>
        <shadow val="0"/>
        <u val="none"/>
        <vertAlign val="baseline"/>
        <sz val="14"/>
        <color rgb="FF434343"/>
        <name val="Roboto"/>
        <scheme val="none"/>
      </font>
      <fill>
        <patternFill patternType="solid">
          <fgColor indexed="64"/>
          <bgColor rgb="FFEA4335"/>
        </patternFill>
      </fill>
      <alignment horizontal="center" vertical="center" textRotation="0" wrapText="1" indent="0" justifyLastLine="0" shrinkToFit="0" readingOrder="0"/>
    </dxf>
    <dxf>
      <font>
        <b/>
        <i val="0"/>
        <strike val="0"/>
        <condense val="0"/>
        <extend val="0"/>
        <outline val="0"/>
        <shadow val="0"/>
        <u val="none"/>
        <vertAlign val="baseline"/>
        <sz val="14"/>
        <color rgb="FF434343"/>
        <name val="Roboto"/>
        <scheme val="none"/>
      </font>
      <fill>
        <patternFill patternType="solid">
          <fgColor indexed="64"/>
          <bgColor rgb="FF34A853"/>
        </patternFill>
      </fill>
      <alignment horizontal="center" vertical="center" textRotation="0" wrapText="1" indent="0" justifyLastLine="0" shrinkToFit="0" readingOrder="0"/>
    </dxf>
    <dxf>
      <font>
        <b/>
        <i val="0"/>
        <strike val="0"/>
        <condense val="0"/>
        <extend val="0"/>
        <outline val="0"/>
        <shadow val="0"/>
        <u val="none"/>
        <vertAlign val="baseline"/>
        <sz val="14"/>
        <color rgb="FF434343"/>
        <name val="Roboto"/>
        <scheme val="none"/>
      </font>
      <fill>
        <patternFill patternType="solid">
          <fgColor indexed="64"/>
          <bgColor rgb="FFEA4335"/>
        </patternFill>
      </fill>
      <alignment horizontal="center" vertical="center" textRotation="0" wrapText="1" indent="0" justifyLastLine="0" shrinkToFit="0" readingOrder="0"/>
    </dxf>
    <dxf>
      <font>
        <b/>
        <i val="0"/>
        <strike val="0"/>
        <condense val="0"/>
        <extend val="0"/>
        <outline val="0"/>
        <shadow val="0"/>
        <u val="none"/>
        <vertAlign val="baseline"/>
        <sz val="14"/>
        <color rgb="FF434343"/>
        <name val="Roboto"/>
        <scheme val="none"/>
      </font>
      <fill>
        <patternFill patternType="solid">
          <fgColor indexed="64"/>
          <bgColor rgb="FF34A853"/>
        </patternFill>
      </fill>
      <alignment horizontal="center" vertical="center" textRotation="0" wrapText="1" indent="0" justifyLastLine="0" shrinkToFit="0" readingOrder="0"/>
    </dxf>
    <dxf>
      <font>
        <b/>
        <i val="0"/>
        <strike val="0"/>
        <condense val="0"/>
        <extend val="0"/>
        <outline val="0"/>
        <shadow val="0"/>
        <u val="none"/>
        <vertAlign val="baseline"/>
        <sz val="14"/>
        <color rgb="FF434343"/>
        <name val="Roboto"/>
        <scheme val="none"/>
      </font>
      <fill>
        <patternFill patternType="solid">
          <fgColor indexed="64"/>
          <bgColor rgb="FF34A853"/>
        </patternFill>
      </fill>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0"/>
        <color rgb="FFFFFFFF"/>
        <name val="Roboto"/>
        <scheme val="none"/>
      </font>
      <fill>
        <patternFill patternType="solid">
          <fgColor indexed="64"/>
          <bgColor theme="1" tint="0.249977111117893"/>
        </patternFill>
      </fill>
      <alignment horizontal="general" vertical="center" textRotation="0" wrapText="1" indent="0" justifyLastLine="0" shrinkToFit="0" readingOrder="0"/>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externalLink" Target="externalLinks/externalLink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SUS Score Averages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986346890124972"/>
          <c:y val="0.14009442870632674"/>
          <c:w val="0.85626214860051453"/>
          <c:h val="0.77228227491393608"/>
        </c:manualLayout>
      </c:layout>
      <c:lineChart>
        <c:grouping val="standard"/>
        <c:varyColors val="0"/>
        <c:ser>
          <c:idx val="0"/>
          <c:order val="0"/>
          <c:spPr>
            <a:ln w="28575" cap="rnd">
              <a:solidFill>
                <a:schemeClr val="accent1"/>
              </a:solidFill>
              <a:round/>
            </a:ln>
            <a:effectLst/>
          </c:spPr>
          <c:marker>
            <c:symbol val="none"/>
          </c:marker>
          <c:val>
            <c:numRef>
              <c:f>'[1]Iteration Overview'!$R$2:$R$4</c:f>
              <c:numCache>
                <c:formatCode>General</c:formatCode>
                <c:ptCount val="3"/>
                <c:pt idx="0">
                  <c:v>67.916666666666671</c:v>
                </c:pt>
                <c:pt idx="1">
                  <c:v>65.555555555555557</c:v>
                </c:pt>
                <c:pt idx="2">
                  <c:v>67.045454545454547</c:v>
                </c:pt>
              </c:numCache>
            </c:numRef>
          </c:val>
          <c:smooth val="0"/>
          <c:extLst>
            <c:ext xmlns:c16="http://schemas.microsoft.com/office/drawing/2014/chart" uri="{C3380CC4-5D6E-409C-BE32-E72D297353CC}">
              <c16:uniqueId val="{00000000-F8BA-4265-8DFC-38CA7F3C7534}"/>
            </c:ext>
          </c:extLst>
        </c:ser>
        <c:dLbls>
          <c:showLegendKey val="0"/>
          <c:showVal val="0"/>
          <c:showCatName val="0"/>
          <c:showSerName val="0"/>
          <c:showPercent val="0"/>
          <c:showBubbleSize val="0"/>
        </c:dLbls>
        <c:smooth val="0"/>
        <c:axId val="1545163455"/>
        <c:axId val="1545158655"/>
      </c:lineChart>
      <c:catAx>
        <c:axId val="154516345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5158655"/>
        <c:crosses val="autoZero"/>
        <c:auto val="1"/>
        <c:lblAlgn val="ctr"/>
        <c:lblOffset val="100"/>
        <c:noMultiLvlLbl val="0"/>
      </c:catAx>
      <c:valAx>
        <c:axId val="1545158655"/>
        <c:scaling>
          <c:orientation val="minMax"/>
          <c:max val="1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5163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2225" cap="rnd">
              <a:solidFill>
                <a:schemeClr val="accent6"/>
              </a:solidFill>
              <a:round/>
            </a:ln>
            <a:effectLst/>
          </c:spPr>
          <c:marker>
            <c:symbol val="circle"/>
            <c:size val="5"/>
            <c:spPr>
              <a:solidFill>
                <a:schemeClr val="accent6"/>
              </a:solidFill>
              <a:ln w="9525">
                <a:solidFill>
                  <a:schemeClr val="accent6"/>
                </a:solidFill>
              </a:ln>
              <a:effectLst/>
            </c:spPr>
          </c:marker>
          <c:val>
            <c:numRef>
              <c:f>'[1]Iteration Overview'!$C$7:$E$7</c:f>
              <c:numCache>
                <c:formatCode>General</c:formatCode>
                <c:ptCount val="3"/>
                <c:pt idx="1">
                  <c:v>52.5</c:v>
                </c:pt>
                <c:pt idx="2">
                  <c:v>80</c:v>
                </c:pt>
              </c:numCache>
            </c:numRef>
          </c:val>
          <c:smooth val="0"/>
          <c:extLst>
            <c:ext xmlns:c16="http://schemas.microsoft.com/office/drawing/2014/chart" uri="{C3380CC4-5D6E-409C-BE32-E72D297353CC}">
              <c16:uniqueId val="{00000000-52C9-42DD-A768-A4B5922945B5}"/>
            </c:ext>
          </c:extLst>
        </c:ser>
        <c:ser>
          <c:idx val="1"/>
          <c:order val="1"/>
          <c:spPr>
            <a:ln w="22225" cap="rnd">
              <a:solidFill>
                <a:schemeClr val="accent6"/>
              </a:solidFill>
              <a:round/>
            </a:ln>
            <a:effectLst/>
          </c:spPr>
          <c:marker>
            <c:symbol val="circle"/>
            <c:size val="5"/>
            <c:spPr>
              <a:solidFill>
                <a:schemeClr val="accent6"/>
              </a:solidFill>
              <a:ln w="9525">
                <a:solidFill>
                  <a:schemeClr val="accent6"/>
                </a:solidFill>
              </a:ln>
              <a:effectLst/>
            </c:spPr>
          </c:marker>
          <c:val>
            <c:numRef>
              <c:f>'[1]Iteration Overview'!$C$8:$E$8</c:f>
              <c:numCache>
                <c:formatCode>General</c:formatCode>
                <c:ptCount val="3"/>
                <c:pt idx="1">
                  <c:v>70</c:v>
                </c:pt>
                <c:pt idx="2">
                  <c:v>65</c:v>
                </c:pt>
              </c:numCache>
            </c:numRef>
          </c:val>
          <c:smooth val="0"/>
          <c:extLst>
            <c:ext xmlns:c16="http://schemas.microsoft.com/office/drawing/2014/chart" uri="{C3380CC4-5D6E-409C-BE32-E72D297353CC}">
              <c16:uniqueId val="{00000001-52C9-42DD-A768-A4B5922945B5}"/>
            </c:ext>
          </c:extLst>
        </c:ser>
        <c:ser>
          <c:idx val="2"/>
          <c:order val="2"/>
          <c:spPr>
            <a:ln w="22225" cap="rnd">
              <a:solidFill>
                <a:schemeClr val="accent6"/>
              </a:solidFill>
              <a:round/>
            </a:ln>
            <a:effectLst/>
          </c:spPr>
          <c:marker>
            <c:symbol val="circle"/>
            <c:size val="5"/>
            <c:spPr>
              <a:solidFill>
                <a:schemeClr val="accent6"/>
              </a:solidFill>
              <a:ln w="9525">
                <a:solidFill>
                  <a:schemeClr val="accent6"/>
                </a:solidFill>
              </a:ln>
              <a:effectLst/>
            </c:spPr>
          </c:marker>
          <c:val>
            <c:numRef>
              <c:f>'[1]Iteration Overview'!$C$9:$E$9</c:f>
              <c:numCache>
                <c:formatCode>General</c:formatCode>
                <c:ptCount val="3"/>
                <c:pt idx="1">
                  <c:v>62.5</c:v>
                </c:pt>
                <c:pt idx="2">
                  <c:v>75</c:v>
                </c:pt>
              </c:numCache>
            </c:numRef>
          </c:val>
          <c:smooth val="0"/>
          <c:extLst>
            <c:ext xmlns:c16="http://schemas.microsoft.com/office/drawing/2014/chart" uri="{C3380CC4-5D6E-409C-BE32-E72D297353CC}">
              <c16:uniqueId val="{00000002-52C9-42DD-A768-A4B5922945B5}"/>
            </c:ext>
          </c:extLst>
        </c:ser>
        <c:ser>
          <c:idx val="3"/>
          <c:order val="3"/>
          <c:spPr>
            <a:ln w="22225" cap="rnd">
              <a:solidFill>
                <a:schemeClr val="accent6"/>
              </a:solidFill>
              <a:round/>
            </a:ln>
            <a:effectLst/>
          </c:spPr>
          <c:marker>
            <c:symbol val="circle"/>
            <c:size val="5"/>
            <c:spPr>
              <a:solidFill>
                <a:schemeClr val="accent6"/>
              </a:solidFill>
              <a:ln w="9525">
                <a:solidFill>
                  <a:schemeClr val="accent6"/>
                </a:solidFill>
              </a:ln>
              <a:effectLst/>
            </c:spPr>
          </c:marker>
          <c:val>
            <c:numRef>
              <c:f>'[1]Iteration Overview'!$C$10:$E$10</c:f>
              <c:numCache>
                <c:formatCode>General</c:formatCode>
                <c:ptCount val="3"/>
                <c:pt idx="1">
                  <c:v>75</c:v>
                </c:pt>
                <c:pt idx="2">
                  <c:v>67.5</c:v>
                </c:pt>
              </c:numCache>
            </c:numRef>
          </c:val>
          <c:smooth val="0"/>
          <c:extLst>
            <c:ext xmlns:c16="http://schemas.microsoft.com/office/drawing/2014/chart" uri="{C3380CC4-5D6E-409C-BE32-E72D297353CC}">
              <c16:uniqueId val="{00000003-52C9-42DD-A768-A4B5922945B5}"/>
            </c:ext>
          </c:extLst>
        </c:ser>
        <c:ser>
          <c:idx val="4"/>
          <c:order val="4"/>
          <c:tx>
            <c:v>Team-1</c:v>
          </c:tx>
          <c:spPr>
            <a:ln w="22225" cap="rnd">
              <a:solidFill>
                <a:schemeClr val="accent6"/>
              </a:solidFill>
              <a:round/>
            </a:ln>
            <a:effectLst/>
          </c:spPr>
          <c:marker>
            <c:symbol val="circle"/>
            <c:size val="5"/>
            <c:spPr>
              <a:solidFill>
                <a:schemeClr val="accent6"/>
              </a:solidFill>
              <a:ln w="9525">
                <a:solidFill>
                  <a:schemeClr val="accent6"/>
                </a:solidFill>
              </a:ln>
              <a:effectLst/>
            </c:spPr>
          </c:marker>
          <c:val>
            <c:numRef>
              <c:f>'[1]Iteration Overview'!$C$11:$E$11</c:f>
              <c:numCache>
                <c:formatCode>General</c:formatCode>
                <c:ptCount val="3"/>
                <c:pt idx="1">
                  <c:v>77.5</c:v>
                </c:pt>
                <c:pt idx="2">
                  <c:v>92.5</c:v>
                </c:pt>
              </c:numCache>
            </c:numRef>
          </c:val>
          <c:smooth val="0"/>
          <c:extLst>
            <c:ext xmlns:c16="http://schemas.microsoft.com/office/drawing/2014/chart" uri="{C3380CC4-5D6E-409C-BE32-E72D297353CC}">
              <c16:uniqueId val="{00000004-52C9-42DD-A768-A4B5922945B5}"/>
            </c:ext>
          </c:extLst>
        </c:ser>
        <c:ser>
          <c:idx val="5"/>
          <c:order val="5"/>
          <c:spPr>
            <a:ln w="28575" cap="rnd">
              <a:solidFill>
                <a:schemeClr val="accent2">
                  <a:lumMod val="75000"/>
                </a:schemeClr>
              </a:solidFill>
              <a:round/>
            </a:ln>
            <a:effectLst/>
          </c:spPr>
          <c:marker>
            <c:symbol val="circle"/>
            <c:size val="5"/>
            <c:spPr>
              <a:solidFill>
                <a:schemeClr val="accent2">
                  <a:lumMod val="75000"/>
                </a:schemeClr>
              </a:solidFill>
              <a:ln w="9525">
                <a:solidFill>
                  <a:schemeClr val="accent2">
                    <a:lumMod val="75000"/>
                  </a:schemeClr>
                </a:solidFill>
              </a:ln>
              <a:effectLst/>
            </c:spPr>
          </c:marker>
          <c:val>
            <c:numRef>
              <c:f>'[1]Iteration Overview'!$C$12:$E$12</c:f>
              <c:numCache>
                <c:formatCode>General</c:formatCode>
                <c:ptCount val="3"/>
                <c:pt idx="2">
                  <c:v>32.5</c:v>
                </c:pt>
              </c:numCache>
            </c:numRef>
          </c:val>
          <c:smooth val="0"/>
          <c:extLst>
            <c:ext xmlns:c16="http://schemas.microsoft.com/office/drawing/2014/chart" uri="{C3380CC4-5D6E-409C-BE32-E72D297353CC}">
              <c16:uniqueId val="{00000005-52C9-42DD-A768-A4B5922945B5}"/>
            </c:ext>
          </c:extLst>
        </c:ser>
        <c:ser>
          <c:idx val="6"/>
          <c:order val="6"/>
          <c:spPr>
            <a:ln w="28575" cap="rnd">
              <a:solidFill>
                <a:schemeClr val="accent2">
                  <a:lumMod val="75000"/>
                </a:schemeClr>
              </a:solidFill>
              <a:round/>
            </a:ln>
            <a:effectLst/>
          </c:spPr>
          <c:marker>
            <c:symbol val="circle"/>
            <c:size val="5"/>
            <c:spPr>
              <a:solidFill>
                <a:schemeClr val="accent2">
                  <a:lumMod val="75000"/>
                </a:schemeClr>
              </a:solidFill>
              <a:ln w="9525">
                <a:solidFill>
                  <a:schemeClr val="accent2">
                    <a:lumMod val="75000"/>
                  </a:schemeClr>
                </a:solidFill>
              </a:ln>
              <a:effectLst/>
            </c:spPr>
          </c:marker>
          <c:val>
            <c:numRef>
              <c:f>'[1]Iteration Overview'!$C$13:$E$13</c:f>
              <c:numCache>
                <c:formatCode>General</c:formatCode>
                <c:ptCount val="3"/>
                <c:pt idx="2">
                  <c:v>30</c:v>
                </c:pt>
              </c:numCache>
            </c:numRef>
          </c:val>
          <c:smooth val="0"/>
          <c:extLst>
            <c:ext xmlns:c16="http://schemas.microsoft.com/office/drawing/2014/chart" uri="{C3380CC4-5D6E-409C-BE32-E72D297353CC}">
              <c16:uniqueId val="{00000006-52C9-42DD-A768-A4B5922945B5}"/>
            </c:ext>
          </c:extLst>
        </c:ser>
        <c:ser>
          <c:idx val="13"/>
          <c:order val="7"/>
          <c:tx>
            <c:v>Team-2</c:v>
          </c:tx>
          <c:spPr>
            <a:ln w="22225" cap="rnd">
              <a:solidFill>
                <a:schemeClr val="accent1"/>
              </a:solidFill>
              <a:round/>
            </a:ln>
            <a:effectLst/>
          </c:spPr>
          <c:marker>
            <c:symbol val="circle"/>
            <c:size val="5"/>
            <c:spPr>
              <a:solidFill>
                <a:schemeClr val="accent1"/>
              </a:solidFill>
              <a:ln w="9525">
                <a:solidFill>
                  <a:schemeClr val="accent1"/>
                </a:solidFill>
              </a:ln>
              <a:effectLst/>
            </c:spPr>
          </c:marker>
          <c:val>
            <c:numRef>
              <c:f>'[1]Iteration Overview'!$C$20:$E$20</c:f>
              <c:numCache>
                <c:formatCode>General</c:formatCode>
                <c:ptCount val="3"/>
                <c:pt idx="0">
                  <c:v>25</c:v>
                </c:pt>
                <c:pt idx="1">
                  <c:v>50</c:v>
                </c:pt>
              </c:numCache>
            </c:numRef>
          </c:val>
          <c:smooth val="0"/>
          <c:extLst>
            <c:ext xmlns:c16="http://schemas.microsoft.com/office/drawing/2014/chart" uri="{C3380CC4-5D6E-409C-BE32-E72D297353CC}">
              <c16:uniqueId val="{00000007-52C9-42DD-A768-A4B5922945B5}"/>
            </c:ext>
          </c:extLst>
        </c:ser>
        <c:ser>
          <c:idx val="7"/>
          <c:order val="8"/>
          <c:tx>
            <c:v>Team-3</c:v>
          </c:tx>
          <c:spPr>
            <a:ln w="22225" cap="rnd">
              <a:solidFill>
                <a:schemeClr val="accent2">
                  <a:lumMod val="75000"/>
                </a:schemeClr>
              </a:solidFill>
              <a:round/>
            </a:ln>
            <a:effectLst/>
          </c:spPr>
          <c:marker>
            <c:symbol val="circle"/>
            <c:size val="5"/>
            <c:spPr>
              <a:solidFill>
                <a:schemeClr val="accent2">
                  <a:lumMod val="75000"/>
                </a:schemeClr>
              </a:solidFill>
              <a:ln w="9525">
                <a:solidFill>
                  <a:schemeClr val="accent2">
                    <a:lumMod val="75000"/>
                  </a:schemeClr>
                </a:solidFill>
              </a:ln>
              <a:effectLst/>
            </c:spPr>
          </c:marker>
          <c:val>
            <c:numRef>
              <c:f>'[1]Iteration Overview'!$C$14:$E$14</c:f>
              <c:numCache>
                <c:formatCode>General</c:formatCode>
                <c:ptCount val="3"/>
                <c:pt idx="2">
                  <c:v>77.5</c:v>
                </c:pt>
              </c:numCache>
            </c:numRef>
          </c:val>
          <c:smooth val="0"/>
          <c:extLst>
            <c:ext xmlns:c16="http://schemas.microsoft.com/office/drawing/2014/chart" uri="{C3380CC4-5D6E-409C-BE32-E72D297353CC}">
              <c16:uniqueId val="{00000008-52C9-42DD-A768-A4B5922945B5}"/>
            </c:ext>
          </c:extLst>
        </c:ser>
        <c:ser>
          <c:idx val="8"/>
          <c:order val="9"/>
          <c:spPr>
            <a:ln w="22225" cap="rnd">
              <a:solidFill>
                <a:schemeClr val="accent1"/>
              </a:solidFill>
              <a:round/>
            </a:ln>
            <a:effectLst/>
          </c:spPr>
          <c:marker>
            <c:symbol val="circle"/>
            <c:size val="5"/>
            <c:spPr>
              <a:solidFill>
                <a:schemeClr val="accent1"/>
              </a:solidFill>
              <a:ln w="9525">
                <a:solidFill>
                  <a:schemeClr val="accent1"/>
                </a:solidFill>
              </a:ln>
              <a:effectLst/>
            </c:spPr>
          </c:marker>
          <c:val>
            <c:numRef>
              <c:f>'[1]Iteration Overview'!$C$15:$E$15</c:f>
              <c:numCache>
                <c:formatCode>General</c:formatCode>
                <c:ptCount val="3"/>
                <c:pt idx="0">
                  <c:v>80</c:v>
                </c:pt>
                <c:pt idx="1">
                  <c:v>72.5</c:v>
                </c:pt>
                <c:pt idx="2">
                  <c:v>85</c:v>
                </c:pt>
              </c:numCache>
            </c:numRef>
          </c:val>
          <c:smooth val="0"/>
          <c:extLst>
            <c:ext xmlns:c16="http://schemas.microsoft.com/office/drawing/2014/chart" uri="{C3380CC4-5D6E-409C-BE32-E72D297353CC}">
              <c16:uniqueId val="{00000009-52C9-42DD-A768-A4B5922945B5}"/>
            </c:ext>
          </c:extLst>
        </c:ser>
        <c:ser>
          <c:idx val="9"/>
          <c:order val="10"/>
          <c:spPr>
            <a:ln w="22225" cap="rnd">
              <a:solidFill>
                <a:schemeClr val="accent1"/>
              </a:solidFill>
              <a:round/>
            </a:ln>
            <a:effectLst/>
          </c:spPr>
          <c:marker>
            <c:symbol val="circle"/>
            <c:size val="5"/>
            <c:spPr>
              <a:solidFill>
                <a:schemeClr val="accent1"/>
              </a:solidFill>
              <a:ln w="9525">
                <a:solidFill>
                  <a:schemeClr val="accent1"/>
                </a:solidFill>
              </a:ln>
              <a:effectLst/>
            </c:spPr>
          </c:marker>
          <c:val>
            <c:numRef>
              <c:f>'[1]Iteration Overview'!$C$16:$E$16</c:f>
              <c:numCache>
                <c:formatCode>General</c:formatCode>
                <c:ptCount val="3"/>
                <c:pt idx="0">
                  <c:v>90</c:v>
                </c:pt>
                <c:pt idx="1">
                  <c:v>75</c:v>
                </c:pt>
                <c:pt idx="2">
                  <c:v>85</c:v>
                </c:pt>
              </c:numCache>
            </c:numRef>
          </c:val>
          <c:smooth val="0"/>
          <c:extLst>
            <c:ext xmlns:c16="http://schemas.microsoft.com/office/drawing/2014/chart" uri="{C3380CC4-5D6E-409C-BE32-E72D297353CC}">
              <c16:uniqueId val="{0000000A-52C9-42DD-A768-A4B5922945B5}"/>
            </c:ext>
          </c:extLst>
        </c:ser>
        <c:ser>
          <c:idx val="10"/>
          <c:order val="11"/>
          <c:spPr>
            <a:ln w="22225" cap="rnd">
              <a:solidFill>
                <a:schemeClr val="accent1"/>
              </a:solidFill>
              <a:round/>
            </a:ln>
            <a:effectLst/>
          </c:spPr>
          <c:marker>
            <c:symbol val="circle"/>
            <c:size val="5"/>
            <c:spPr>
              <a:solidFill>
                <a:schemeClr val="accent1"/>
              </a:solidFill>
              <a:ln w="9525">
                <a:solidFill>
                  <a:schemeClr val="accent1"/>
                </a:solidFill>
              </a:ln>
              <a:effectLst/>
            </c:spPr>
          </c:marker>
          <c:val>
            <c:numRef>
              <c:f>'[1]Iteration Overview'!$C$17:$E$17</c:f>
              <c:numCache>
                <c:formatCode>General</c:formatCode>
                <c:ptCount val="3"/>
                <c:pt idx="0">
                  <c:v>72.5</c:v>
                </c:pt>
                <c:pt idx="1">
                  <c:v>55</c:v>
                </c:pt>
                <c:pt idx="2">
                  <c:v>47.5</c:v>
                </c:pt>
              </c:numCache>
            </c:numRef>
          </c:val>
          <c:smooth val="0"/>
          <c:extLst>
            <c:ext xmlns:c16="http://schemas.microsoft.com/office/drawing/2014/chart" uri="{C3380CC4-5D6E-409C-BE32-E72D297353CC}">
              <c16:uniqueId val="{0000000B-52C9-42DD-A768-A4B5922945B5}"/>
            </c:ext>
          </c:extLst>
        </c:ser>
        <c:ser>
          <c:idx val="11"/>
          <c:order val="12"/>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'[1]Iteration Overview'!$C$18:$E$18</c:f>
              <c:numCache>
                <c:formatCode>General</c:formatCode>
                <c:ptCount val="3"/>
                <c:pt idx="0">
                  <c:v>57.5</c:v>
                </c:pt>
              </c:numCache>
            </c:numRef>
          </c:val>
          <c:smooth val="0"/>
          <c:extLst>
            <c:ext xmlns:c16="http://schemas.microsoft.com/office/drawing/2014/chart" uri="{C3380CC4-5D6E-409C-BE32-E72D297353CC}">
              <c16:uniqueId val="{0000000C-52C9-42DD-A768-A4B5922945B5}"/>
            </c:ext>
          </c:extLst>
        </c:ser>
        <c:ser>
          <c:idx val="12"/>
          <c:order val="13"/>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'[1]Iteration Overview'!$C$19:$E$19</c:f>
              <c:numCache>
                <c:formatCode>General</c:formatCode>
                <c:ptCount val="3"/>
                <c:pt idx="0">
                  <c:v>82.5</c:v>
                </c:pt>
              </c:numCache>
            </c:numRef>
          </c:val>
          <c:smooth val="0"/>
          <c:extLst>
            <c:ext xmlns:c16="http://schemas.microsoft.com/office/drawing/2014/chart" uri="{C3380CC4-5D6E-409C-BE32-E72D297353CC}">
              <c16:uniqueId val="{0000000D-52C9-42DD-A768-A4B5922945B5}"/>
            </c:ext>
          </c:extLst>
        </c:ser>
        <c:dLbls>
          <c:showLegendKey val="0"/>
          <c:showVal val="0"/>
          <c:showCatName val="0"/>
          <c:showSerName val="0"/>
          <c:showPercent val="0"/>
          <c:showBubbleSize val="0"/>
        </c:dLbls>
        <c:marker val="1"/>
        <c:smooth val="0"/>
        <c:axId val="485042688"/>
        <c:axId val="485040288"/>
      </c:lineChart>
      <c:catAx>
        <c:axId val="4850426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Iteration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040288"/>
        <c:crosses val="autoZero"/>
        <c:auto val="1"/>
        <c:lblAlgn val="ctr"/>
        <c:lblOffset val="100"/>
        <c:noMultiLvlLbl val="0"/>
      </c:catAx>
      <c:valAx>
        <c:axId val="4850402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SUS Score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042688"/>
        <c:crosses val="autoZero"/>
        <c:crossBetween val="between"/>
      </c:valAx>
      <c:spPr>
        <a:noFill/>
        <a:ln>
          <a:noFill/>
        </a:ln>
        <a:effectLst/>
      </c:spPr>
    </c:plotArea>
    <c:legend>
      <c:legendPos val="r"/>
      <c:legendEntry>
        <c:idx val="0"/>
        <c:delete val="1"/>
      </c:legendEntry>
      <c:legendEntry>
        <c:idx val="1"/>
        <c:delete val="1"/>
      </c:legendEntry>
      <c:legendEntry>
        <c:idx val="2"/>
        <c:delete val="1"/>
      </c:legendEntry>
      <c:legendEntry>
        <c:idx val="3"/>
        <c:delete val="1"/>
      </c:legendEntry>
      <c:legendEntry>
        <c:idx val="5"/>
        <c:delete val="1"/>
      </c:legendEntry>
      <c:legendEntry>
        <c:idx val="6"/>
        <c:delete val="1"/>
      </c:legendEntry>
      <c:legendEntry>
        <c:idx val="9"/>
        <c:delete val="1"/>
      </c:legendEntry>
      <c:legendEntry>
        <c:idx val="10"/>
        <c:delete val="1"/>
      </c:legendEntry>
      <c:legendEntry>
        <c:idx val="11"/>
        <c:delete val="1"/>
      </c:legendEntry>
      <c:legendEntry>
        <c:idx val="12"/>
        <c:delete val="1"/>
      </c:legendEntry>
      <c:legendEntry>
        <c:idx val="1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v>Designers/Producers</c:v>
          </c:tx>
          <c:spPr>
            <a:ln w="22225" cap="rnd">
              <a:solidFill>
                <a:schemeClr val="accent1"/>
              </a:solidFill>
              <a:round/>
            </a:ln>
            <a:effectLst/>
          </c:spPr>
          <c:marker>
            <c:symbol val="circle"/>
            <c:size val="5"/>
            <c:spPr>
              <a:solidFill>
                <a:schemeClr val="accent1"/>
              </a:solidFill>
              <a:ln w="9525">
                <a:solidFill>
                  <a:schemeClr val="accent1"/>
                </a:solidFill>
              </a:ln>
              <a:effectLst/>
            </c:spPr>
          </c:marker>
          <c:val>
            <c:numRef>
              <c:f>'[1]Iteration Overview'!$C$7:$E$7</c:f>
              <c:numCache>
                <c:formatCode>General</c:formatCode>
                <c:ptCount val="3"/>
                <c:pt idx="1">
                  <c:v>52.5</c:v>
                </c:pt>
                <c:pt idx="2">
                  <c:v>80</c:v>
                </c:pt>
              </c:numCache>
            </c:numRef>
          </c:val>
          <c:smooth val="0"/>
          <c:extLst>
            <c:ext xmlns:c16="http://schemas.microsoft.com/office/drawing/2014/chart" uri="{C3380CC4-5D6E-409C-BE32-E72D297353CC}">
              <c16:uniqueId val="{00000000-9ACE-4CE2-BE99-47B4F4B686EA}"/>
            </c:ext>
          </c:extLst>
        </c:ser>
        <c:ser>
          <c:idx val="1"/>
          <c:order val="1"/>
          <c:tx>
            <c:v>Programmers</c:v>
          </c:tx>
          <c:spPr>
            <a:ln w="22225" cap="rnd">
              <a:solidFill>
                <a:schemeClr val="accent6"/>
              </a:solidFill>
              <a:round/>
            </a:ln>
            <a:effectLst/>
          </c:spPr>
          <c:marker>
            <c:symbol val="circle"/>
            <c:size val="5"/>
            <c:spPr>
              <a:solidFill>
                <a:schemeClr val="accent6"/>
              </a:solidFill>
              <a:ln w="9525">
                <a:solidFill>
                  <a:schemeClr val="accent6"/>
                </a:solidFill>
              </a:ln>
              <a:effectLst/>
            </c:spPr>
          </c:marker>
          <c:val>
            <c:numRef>
              <c:f>'[1]Iteration Overview'!$C$8:$E$8</c:f>
              <c:numCache>
                <c:formatCode>General</c:formatCode>
                <c:ptCount val="3"/>
                <c:pt idx="1">
                  <c:v>70</c:v>
                </c:pt>
                <c:pt idx="2">
                  <c:v>65</c:v>
                </c:pt>
              </c:numCache>
            </c:numRef>
          </c:val>
          <c:smooth val="0"/>
          <c:extLst>
            <c:ext xmlns:c16="http://schemas.microsoft.com/office/drawing/2014/chart" uri="{C3380CC4-5D6E-409C-BE32-E72D297353CC}">
              <c16:uniqueId val="{00000001-9ACE-4CE2-BE99-47B4F4B686EA}"/>
            </c:ext>
          </c:extLst>
        </c:ser>
        <c:ser>
          <c:idx val="2"/>
          <c:order val="2"/>
          <c:tx>
            <c:v>Artists</c:v>
          </c:tx>
          <c:spPr>
            <a:ln w="22225" cap="rnd">
              <a:solidFill>
                <a:schemeClr val="accent2">
                  <a:lumMod val="75000"/>
                </a:schemeClr>
              </a:solidFill>
              <a:round/>
            </a:ln>
            <a:effectLst/>
          </c:spPr>
          <c:marker>
            <c:symbol val="circle"/>
            <c:size val="5"/>
            <c:spPr>
              <a:solidFill>
                <a:schemeClr val="accent2">
                  <a:lumMod val="75000"/>
                </a:schemeClr>
              </a:solidFill>
              <a:ln w="9525">
                <a:solidFill>
                  <a:schemeClr val="accent2">
                    <a:lumMod val="75000"/>
                  </a:schemeClr>
                </a:solidFill>
              </a:ln>
              <a:effectLst/>
            </c:spPr>
          </c:marker>
          <c:val>
            <c:numRef>
              <c:f>'[1]Iteration Overview'!$C$9:$E$9</c:f>
              <c:numCache>
                <c:formatCode>General</c:formatCode>
                <c:ptCount val="3"/>
                <c:pt idx="1">
                  <c:v>62.5</c:v>
                </c:pt>
                <c:pt idx="2">
                  <c:v>75</c:v>
                </c:pt>
              </c:numCache>
            </c:numRef>
          </c:val>
          <c:smooth val="0"/>
          <c:extLst>
            <c:ext xmlns:c16="http://schemas.microsoft.com/office/drawing/2014/chart" uri="{C3380CC4-5D6E-409C-BE32-E72D297353CC}">
              <c16:uniqueId val="{00000002-9ACE-4CE2-BE99-47B4F4B686EA}"/>
            </c:ext>
          </c:extLst>
        </c:ser>
        <c:ser>
          <c:idx val="3"/>
          <c:order val="3"/>
          <c:tx>
            <c:v>P</c:v>
          </c:tx>
          <c:spPr>
            <a:ln w="22225" cap="rnd">
              <a:solidFill>
                <a:schemeClr val="accent6"/>
              </a:solidFill>
              <a:round/>
            </a:ln>
            <a:effectLst/>
          </c:spPr>
          <c:marker>
            <c:symbol val="circle"/>
            <c:size val="5"/>
            <c:spPr>
              <a:solidFill>
                <a:schemeClr val="accent6"/>
              </a:solidFill>
              <a:ln w="9525">
                <a:solidFill>
                  <a:schemeClr val="accent6"/>
                </a:solidFill>
              </a:ln>
              <a:effectLst/>
            </c:spPr>
          </c:marker>
          <c:val>
            <c:numRef>
              <c:f>'[1]Iteration Overview'!$C$10:$E$10</c:f>
              <c:numCache>
                <c:formatCode>General</c:formatCode>
                <c:ptCount val="3"/>
                <c:pt idx="1">
                  <c:v>75</c:v>
                </c:pt>
                <c:pt idx="2">
                  <c:v>67.5</c:v>
                </c:pt>
              </c:numCache>
            </c:numRef>
          </c:val>
          <c:smooth val="0"/>
          <c:extLst>
            <c:ext xmlns:c16="http://schemas.microsoft.com/office/drawing/2014/chart" uri="{C3380CC4-5D6E-409C-BE32-E72D297353CC}">
              <c16:uniqueId val="{00000003-9ACE-4CE2-BE99-47B4F4B686EA}"/>
            </c:ext>
          </c:extLst>
        </c:ser>
        <c:ser>
          <c:idx val="4"/>
          <c:order val="4"/>
          <c:tx>
            <c:v>D</c:v>
          </c:tx>
          <c:spPr>
            <a:ln w="22225" cap="rnd">
              <a:solidFill>
                <a:schemeClr val="accent1"/>
              </a:solidFill>
              <a:round/>
            </a:ln>
            <a:effectLst/>
          </c:spPr>
          <c:marker>
            <c:symbol val="circle"/>
            <c:size val="5"/>
            <c:spPr>
              <a:solidFill>
                <a:schemeClr val="accent1"/>
              </a:solidFill>
              <a:ln w="9525">
                <a:solidFill>
                  <a:schemeClr val="accent1"/>
                </a:solidFill>
              </a:ln>
              <a:effectLst/>
            </c:spPr>
          </c:marker>
          <c:val>
            <c:numRef>
              <c:f>'[1]Iteration Overview'!$C$11:$E$11</c:f>
              <c:numCache>
                <c:formatCode>General</c:formatCode>
                <c:ptCount val="3"/>
                <c:pt idx="1">
                  <c:v>77.5</c:v>
                </c:pt>
                <c:pt idx="2">
                  <c:v>92.5</c:v>
                </c:pt>
              </c:numCache>
            </c:numRef>
          </c:val>
          <c:smooth val="0"/>
          <c:extLst>
            <c:ext xmlns:c16="http://schemas.microsoft.com/office/drawing/2014/chart" uri="{C3380CC4-5D6E-409C-BE32-E72D297353CC}">
              <c16:uniqueId val="{00000004-9ACE-4CE2-BE99-47B4F4B686EA}"/>
            </c:ext>
          </c:extLst>
        </c:ser>
        <c:ser>
          <c:idx val="5"/>
          <c:order val="5"/>
          <c:tx>
            <c:v>P</c:v>
          </c:tx>
          <c:spPr>
            <a:ln w="28575" cap="rnd">
              <a:solidFill>
                <a:schemeClr val="accent6"/>
              </a:solidFill>
              <a:round/>
            </a:ln>
            <a:effectLst/>
          </c:spPr>
          <c:marker>
            <c:symbol val="circle"/>
            <c:size val="5"/>
            <c:spPr>
              <a:solidFill>
                <a:schemeClr val="accent6"/>
              </a:solidFill>
              <a:ln w="9525">
                <a:solidFill>
                  <a:schemeClr val="accent6"/>
                </a:solidFill>
              </a:ln>
              <a:effectLst/>
            </c:spPr>
          </c:marker>
          <c:val>
            <c:numRef>
              <c:f>'[1]Iteration Overview'!$C$12:$E$12</c:f>
              <c:numCache>
                <c:formatCode>General</c:formatCode>
                <c:ptCount val="3"/>
                <c:pt idx="2">
                  <c:v>32.5</c:v>
                </c:pt>
              </c:numCache>
            </c:numRef>
          </c:val>
          <c:smooth val="0"/>
          <c:extLst>
            <c:ext xmlns:c16="http://schemas.microsoft.com/office/drawing/2014/chart" uri="{C3380CC4-5D6E-409C-BE32-E72D297353CC}">
              <c16:uniqueId val="{00000005-9ACE-4CE2-BE99-47B4F4B686EA}"/>
            </c:ext>
          </c:extLst>
        </c:ser>
        <c:ser>
          <c:idx val="6"/>
          <c:order val="6"/>
          <c:tx>
            <c:v>P</c:v>
          </c:tx>
          <c:spPr>
            <a:ln w="28575" cap="rnd">
              <a:solidFill>
                <a:schemeClr val="accent6"/>
              </a:solidFill>
              <a:round/>
            </a:ln>
            <a:effectLst/>
          </c:spPr>
          <c:marker>
            <c:symbol val="circle"/>
            <c:size val="5"/>
            <c:spPr>
              <a:solidFill>
                <a:schemeClr val="accent6"/>
              </a:solidFill>
              <a:ln w="9525">
                <a:solidFill>
                  <a:schemeClr val="accent6"/>
                </a:solidFill>
              </a:ln>
              <a:effectLst/>
            </c:spPr>
          </c:marker>
          <c:val>
            <c:numRef>
              <c:f>'[1]Iteration Overview'!$C$13:$E$13</c:f>
              <c:numCache>
                <c:formatCode>General</c:formatCode>
                <c:ptCount val="3"/>
                <c:pt idx="2">
                  <c:v>30</c:v>
                </c:pt>
              </c:numCache>
            </c:numRef>
          </c:val>
          <c:smooth val="0"/>
          <c:extLst>
            <c:ext xmlns:c16="http://schemas.microsoft.com/office/drawing/2014/chart" uri="{C3380CC4-5D6E-409C-BE32-E72D297353CC}">
              <c16:uniqueId val="{00000006-9ACE-4CE2-BE99-47B4F4B686EA}"/>
            </c:ext>
          </c:extLst>
        </c:ser>
        <c:ser>
          <c:idx val="13"/>
          <c:order val="7"/>
          <c:tx>
            <c:v>A</c:v>
          </c:tx>
          <c:spPr>
            <a:ln w="22225" cap="rnd">
              <a:solidFill>
                <a:schemeClr val="accent2">
                  <a:lumMod val="75000"/>
                </a:schemeClr>
              </a:solidFill>
              <a:round/>
            </a:ln>
            <a:effectLst/>
          </c:spPr>
          <c:marker>
            <c:symbol val="circle"/>
            <c:size val="5"/>
            <c:spPr>
              <a:solidFill>
                <a:schemeClr val="accent2">
                  <a:lumMod val="75000"/>
                </a:schemeClr>
              </a:solidFill>
              <a:ln w="9525">
                <a:solidFill>
                  <a:schemeClr val="accent2">
                    <a:lumMod val="75000"/>
                  </a:schemeClr>
                </a:solidFill>
              </a:ln>
              <a:effectLst/>
            </c:spPr>
          </c:marker>
          <c:val>
            <c:numRef>
              <c:f>'[1]Iteration Overview'!$C$20:$E$20</c:f>
              <c:numCache>
                <c:formatCode>General</c:formatCode>
                <c:ptCount val="3"/>
                <c:pt idx="0">
                  <c:v>25</c:v>
                </c:pt>
                <c:pt idx="1">
                  <c:v>50</c:v>
                </c:pt>
              </c:numCache>
            </c:numRef>
          </c:val>
          <c:smooth val="0"/>
          <c:extLst>
            <c:ext xmlns:c16="http://schemas.microsoft.com/office/drawing/2014/chart" uri="{C3380CC4-5D6E-409C-BE32-E72D297353CC}">
              <c16:uniqueId val="{00000007-9ACE-4CE2-BE99-47B4F4B686EA}"/>
            </c:ext>
          </c:extLst>
        </c:ser>
        <c:ser>
          <c:idx val="7"/>
          <c:order val="8"/>
          <c:tx>
            <c:v>P</c:v>
          </c:tx>
          <c:spPr>
            <a:ln w="22225" cap="rnd">
              <a:solidFill>
                <a:schemeClr val="accent6"/>
              </a:solidFill>
              <a:round/>
            </a:ln>
            <a:effectLst/>
          </c:spPr>
          <c:marker>
            <c:symbol val="circle"/>
            <c:size val="5"/>
            <c:spPr>
              <a:solidFill>
                <a:schemeClr val="accent6"/>
              </a:solidFill>
              <a:ln w="9525">
                <a:solidFill>
                  <a:schemeClr val="accent6"/>
                </a:solidFill>
              </a:ln>
              <a:effectLst/>
            </c:spPr>
          </c:marker>
          <c:val>
            <c:numRef>
              <c:f>'[1]Iteration Overview'!$C$14:$E$14</c:f>
              <c:numCache>
                <c:formatCode>General</c:formatCode>
                <c:ptCount val="3"/>
                <c:pt idx="2">
                  <c:v>77.5</c:v>
                </c:pt>
              </c:numCache>
            </c:numRef>
          </c:val>
          <c:smooth val="0"/>
          <c:extLst>
            <c:ext xmlns:c16="http://schemas.microsoft.com/office/drawing/2014/chart" uri="{C3380CC4-5D6E-409C-BE32-E72D297353CC}">
              <c16:uniqueId val="{00000008-9ACE-4CE2-BE99-47B4F4B686EA}"/>
            </c:ext>
          </c:extLst>
        </c:ser>
        <c:ser>
          <c:idx val="8"/>
          <c:order val="9"/>
          <c:tx>
            <c:v>D</c:v>
          </c:tx>
          <c:spPr>
            <a:ln w="22225" cap="rnd">
              <a:solidFill>
                <a:schemeClr val="accent1"/>
              </a:solidFill>
              <a:round/>
            </a:ln>
            <a:effectLst/>
          </c:spPr>
          <c:marker>
            <c:symbol val="circle"/>
            <c:size val="5"/>
            <c:spPr>
              <a:solidFill>
                <a:schemeClr val="accent1"/>
              </a:solidFill>
              <a:ln w="9525">
                <a:solidFill>
                  <a:schemeClr val="accent1"/>
                </a:solidFill>
              </a:ln>
              <a:effectLst/>
            </c:spPr>
          </c:marker>
          <c:val>
            <c:numRef>
              <c:f>'[1]Iteration Overview'!$C$15:$E$15</c:f>
              <c:numCache>
                <c:formatCode>General</c:formatCode>
                <c:ptCount val="3"/>
                <c:pt idx="0">
                  <c:v>80</c:v>
                </c:pt>
                <c:pt idx="1">
                  <c:v>72.5</c:v>
                </c:pt>
                <c:pt idx="2">
                  <c:v>85</c:v>
                </c:pt>
              </c:numCache>
            </c:numRef>
          </c:val>
          <c:smooth val="0"/>
          <c:extLst>
            <c:ext xmlns:c16="http://schemas.microsoft.com/office/drawing/2014/chart" uri="{C3380CC4-5D6E-409C-BE32-E72D297353CC}">
              <c16:uniqueId val="{00000009-9ACE-4CE2-BE99-47B4F4B686EA}"/>
            </c:ext>
          </c:extLst>
        </c:ser>
        <c:ser>
          <c:idx val="9"/>
          <c:order val="10"/>
          <c:tx>
            <c:v>D</c:v>
          </c:tx>
          <c:spPr>
            <a:ln w="22225" cap="rnd">
              <a:solidFill>
                <a:schemeClr val="accent1"/>
              </a:solidFill>
              <a:round/>
            </a:ln>
            <a:effectLst/>
          </c:spPr>
          <c:marker>
            <c:symbol val="circle"/>
            <c:size val="5"/>
            <c:spPr>
              <a:solidFill>
                <a:schemeClr val="accent1"/>
              </a:solidFill>
              <a:ln w="9525">
                <a:solidFill>
                  <a:schemeClr val="accent1"/>
                </a:solidFill>
              </a:ln>
              <a:effectLst/>
            </c:spPr>
          </c:marker>
          <c:val>
            <c:numRef>
              <c:f>'[1]Iteration Overview'!$C$16:$E$16</c:f>
              <c:numCache>
                <c:formatCode>General</c:formatCode>
                <c:ptCount val="3"/>
                <c:pt idx="0">
                  <c:v>90</c:v>
                </c:pt>
                <c:pt idx="1">
                  <c:v>75</c:v>
                </c:pt>
                <c:pt idx="2">
                  <c:v>85</c:v>
                </c:pt>
              </c:numCache>
            </c:numRef>
          </c:val>
          <c:smooth val="0"/>
          <c:extLst>
            <c:ext xmlns:c16="http://schemas.microsoft.com/office/drawing/2014/chart" uri="{C3380CC4-5D6E-409C-BE32-E72D297353CC}">
              <c16:uniqueId val="{0000000A-9ACE-4CE2-BE99-47B4F4B686EA}"/>
            </c:ext>
          </c:extLst>
        </c:ser>
        <c:ser>
          <c:idx val="10"/>
          <c:order val="11"/>
          <c:tx>
            <c:v>P</c:v>
          </c:tx>
          <c:spPr>
            <a:ln w="22225" cap="rnd">
              <a:solidFill>
                <a:schemeClr val="accent6"/>
              </a:solidFill>
              <a:round/>
            </a:ln>
            <a:effectLst/>
          </c:spPr>
          <c:marker>
            <c:symbol val="circle"/>
            <c:size val="5"/>
            <c:spPr>
              <a:solidFill>
                <a:schemeClr val="accent6"/>
              </a:solidFill>
              <a:ln w="9525">
                <a:solidFill>
                  <a:schemeClr val="accent6"/>
                </a:solidFill>
              </a:ln>
              <a:effectLst/>
            </c:spPr>
          </c:marker>
          <c:val>
            <c:numRef>
              <c:f>'[1]Iteration Overview'!$C$17:$E$17</c:f>
              <c:numCache>
                <c:formatCode>General</c:formatCode>
                <c:ptCount val="3"/>
                <c:pt idx="0">
                  <c:v>72.5</c:v>
                </c:pt>
                <c:pt idx="1">
                  <c:v>55</c:v>
                </c:pt>
                <c:pt idx="2">
                  <c:v>47.5</c:v>
                </c:pt>
              </c:numCache>
            </c:numRef>
          </c:val>
          <c:smooth val="0"/>
          <c:extLst>
            <c:ext xmlns:c16="http://schemas.microsoft.com/office/drawing/2014/chart" uri="{C3380CC4-5D6E-409C-BE32-E72D297353CC}">
              <c16:uniqueId val="{0000000B-9ACE-4CE2-BE99-47B4F4B686EA}"/>
            </c:ext>
          </c:extLst>
        </c:ser>
        <c:ser>
          <c:idx val="11"/>
          <c:order val="12"/>
          <c:tx>
            <c:v>A</c:v>
          </c:tx>
          <c:spPr>
            <a:ln w="28575" cap="rnd">
              <a:solidFill>
                <a:schemeClr val="accent2">
                  <a:lumMod val="75000"/>
                </a:schemeClr>
              </a:solidFill>
              <a:round/>
            </a:ln>
            <a:effectLst/>
          </c:spPr>
          <c:marker>
            <c:symbol val="circle"/>
            <c:size val="5"/>
            <c:spPr>
              <a:solidFill>
                <a:schemeClr val="accent2">
                  <a:lumMod val="75000"/>
                </a:schemeClr>
              </a:solidFill>
              <a:ln w="9525">
                <a:solidFill>
                  <a:schemeClr val="accent2">
                    <a:lumMod val="75000"/>
                  </a:schemeClr>
                </a:solidFill>
              </a:ln>
              <a:effectLst/>
            </c:spPr>
          </c:marker>
          <c:val>
            <c:numRef>
              <c:f>'[1]Iteration Overview'!$C$18:$E$18</c:f>
              <c:numCache>
                <c:formatCode>General</c:formatCode>
                <c:ptCount val="3"/>
                <c:pt idx="0">
                  <c:v>57.5</c:v>
                </c:pt>
              </c:numCache>
            </c:numRef>
          </c:val>
          <c:smooth val="0"/>
          <c:extLst>
            <c:ext xmlns:c16="http://schemas.microsoft.com/office/drawing/2014/chart" uri="{C3380CC4-5D6E-409C-BE32-E72D297353CC}">
              <c16:uniqueId val="{0000000C-9ACE-4CE2-BE99-47B4F4B686EA}"/>
            </c:ext>
          </c:extLst>
        </c:ser>
        <c:ser>
          <c:idx val="12"/>
          <c:order val="13"/>
          <c:tx>
            <c:v>D</c:v>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'[1]Iteration Overview'!$C$19:$E$19</c:f>
              <c:numCache>
                <c:formatCode>General</c:formatCode>
                <c:ptCount val="3"/>
                <c:pt idx="0">
                  <c:v>82.5</c:v>
                </c:pt>
              </c:numCache>
            </c:numRef>
          </c:val>
          <c:smooth val="0"/>
          <c:extLst>
            <c:ext xmlns:c16="http://schemas.microsoft.com/office/drawing/2014/chart" uri="{C3380CC4-5D6E-409C-BE32-E72D297353CC}">
              <c16:uniqueId val="{0000000D-9ACE-4CE2-BE99-47B4F4B686EA}"/>
            </c:ext>
          </c:extLst>
        </c:ser>
        <c:dLbls>
          <c:showLegendKey val="0"/>
          <c:showVal val="0"/>
          <c:showCatName val="0"/>
          <c:showSerName val="0"/>
          <c:showPercent val="0"/>
          <c:showBubbleSize val="0"/>
        </c:dLbls>
        <c:marker val="1"/>
        <c:smooth val="0"/>
        <c:axId val="485042688"/>
        <c:axId val="485040288"/>
      </c:lineChart>
      <c:catAx>
        <c:axId val="4850426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Iteration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040288"/>
        <c:crosses val="autoZero"/>
        <c:auto val="1"/>
        <c:lblAlgn val="ctr"/>
        <c:lblOffset val="100"/>
        <c:noMultiLvlLbl val="0"/>
      </c:catAx>
      <c:valAx>
        <c:axId val="4850402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SUS Score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042688"/>
        <c:crosses val="autoZero"/>
        <c:crossBetween val="between"/>
      </c:valAx>
      <c:spPr>
        <a:noFill/>
        <a:ln>
          <a:noFill/>
        </a:ln>
        <a:effectLst/>
      </c:spPr>
    </c:plotArea>
    <c:legend>
      <c:legendPos val="r"/>
      <c:legendEntry>
        <c:idx val="3"/>
        <c:delete val="1"/>
      </c:legendEntry>
      <c:legendEntry>
        <c:idx val="4"/>
        <c:delete val="1"/>
      </c:legendEntry>
      <c:legendEntry>
        <c:idx val="5"/>
        <c:delete val="1"/>
      </c:legendEntry>
      <c:legendEntry>
        <c:idx val="6"/>
        <c:delete val="1"/>
      </c:legendEntry>
      <c:legendEntry>
        <c:idx val="7"/>
        <c:delete val="1"/>
      </c:legendEntry>
      <c:legendEntry>
        <c:idx val="8"/>
        <c:delete val="1"/>
      </c:legendEntry>
      <c:legendEntry>
        <c:idx val="9"/>
        <c:delete val="1"/>
      </c:legendEntry>
      <c:legendEntry>
        <c:idx val="10"/>
        <c:delete val="1"/>
      </c:legendEntry>
      <c:legendEntry>
        <c:idx val="11"/>
        <c:delete val="1"/>
      </c:legendEntry>
      <c:legendEntry>
        <c:idx val="12"/>
        <c:delete val="1"/>
      </c:legendEntry>
      <c:legendEntry>
        <c:idx val="1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18</xdr:col>
      <xdr:colOff>174624</xdr:colOff>
      <xdr:row>0</xdr:row>
      <xdr:rowOff>123825</xdr:rowOff>
    </xdr:from>
    <xdr:to>
      <xdr:col>25</xdr:col>
      <xdr:colOff>384174</xdr:colOff>
      <xdr:row>8</xdr:row>
      <xdr:rowOff>3175</xdr:rowOff>
    </xdr:to>
    <xdr:graphicFrame macro="">
      <xdr:nvGraphicFramePr>
        <xdr:cNvPr id="2" name="Chart 1">
          <a:extLst>
            <a:ext uri="{FF2B5EF4-FFF2-40B4-BE49-F238E27FC236}">
              <a16:creationId xmlns:a16="http://schemas.microsoft.com/office/drawing/2014/main" id="{6EB9B40F-2C24-4F19-B8A7-DD48048318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612774</xdr:colOff>
      <xdr:row>8</xdr:row>
      <xdr:rowOff>180975</xdr:rowOff>
    </xdr:from>
    <xdr:to>
      <xdr:col>14</xdr:col>
      <xdr:colOff>174624</xdr:colOff>
      <xdr:row>26</xdr:row>
      <xdr:rowOff>47998</xdr:rowOff>
    </xdr:to>
    <xdr:graphicFrame macro="">
      <xdr:nvGraphicFramePr>
        <xdr:cNvPr id="4" name="Chart 3">
          <a:extLst>
            <a:ext uri="{FF2B5EF4-FFF2-40B4-BE49-F238E27FC236}">
              <a16:creationId xmlns:a16="http://schemas.microsoft.com/office/drawing/2014/main" id="{71714D7A-CCF1-47D2-9E33-1C383B931D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561975</xdr:colOff>
      <xdr:row>8</xdr:row>
      <xdr:rowOff>225425</xdr:rowOff>
    </xdr:from>
    <xdr:to>
      <xdr:col>25</xdr:col>
      <xdr:colOff>282201</xdr:colOff>
      <xdr:row>26</xdr:row>
      <xdr:rowOff>92448</xdr:rowOff>
    </xdr:to>
    <xdr:graphicFrame macro="">
      <xdr:nvGraphicFramePr>
        <xdr:cNvPr id="5" name="Chart 4">
          <a:extLst>
            <a:ext uri="{FF2B5EF4-FFF2-40B4-BE49-F238E27FC236}">
              <a16:creationId xmlns:a16="http://schemas.microsoft.com/office/drawing/2014/main" id="{564960EA-FCB7-41C7-AAE6-83191A25B0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edubuas.sharepoint.com/teams/2024-25MGT37/Shared%20Documents/General/Hidde%20Derks%20-%20200170/Working%20Files/Data/Survey%20ResultsRAW.xlsx" TargetMode="External"/><Relationship Id="rId1" Type="http://schemas.openxmlformats.org/officeDocument/2006/relationships/externalLinkPath" Target="https://edubuas.sharepoint.com/teams/2024-25MGT37/Shared%20Documents/General/Hidde%20Derks%20-%20200170/Working%20Files/Data/Survey%20ResultsRAW.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teration the First"/>
      <sheetName val="Iteration the Second"/>
      <sheetName val="Iteration the Third"/>
      <sheetName val="Iteration Overview"/>
    </sheetNames>
    <sheetDataSet>
      <sheetData sheetId="0"/>
      <sheetData sheetId="1"/>
      <sheetData sheetId="2"/>
      <sheetData sheetId="3">
        <row r="2">
          <cell r="R2">
            <v>67.916666666666671</v>
          </cell>
        </row>
        <row r="3">
          <cell r="R3">
            <v>65.555555555555557</v>
          </cell>
        </row>
        <row r="4">
          <cell r="R4">
            <v>67.045454545454547</v>
          </cell>
        </row>
        <row r="7">
          <cell r="D7">
            <v>52.5</v>
          </cell>
          <cell r="E7">
            <v>80</v>
          </cell>
        </row>
        <row r="8">
          <cell r="D8">
            <v>70</v>
          </cell>
          <cell r="E8">
            <v>65</v>
          </cell>
        </row>
        <row r="9">
          <cell r="D9">
            <v>62.5</v>
          </cell>
          <cell r="E9">
            <v>75</v>
          </cell>
        </row>
        <row r="10">
          <cell r="D10">
            <v>75</v>
          </cell>
          <cell r="E10">
            <v>67.5</v>
          </cell>
        </row>
        <row r="11">
          <cell r="D11">
            <v>77.5</v>
          </cell>
          <cell r="E11">
            <v>92.5</v>
          </cell>
        </row>
        <row r="12">
          <cell r="E12">
            <v>32.5</v>
          </cell>
        </row>
        <row r="13">
          <cell r="E13">
            <v>30</v>
          </cell>
        </row>
        <row r="14">
          <cell r="E14">
            <v>77.5</v>
          </cell>
        </row>
        <row r="15">
          <cell r="C15">
            <v>80</v>
          </cell>
          <cell r="D15">
            <v>72.5</v>
          </cell>
          <cell r="E15">
            <v>85</v>
          </cell>
        </row>
        <row r="16">
          <cell r="C16">
            <v>90</v>
          </cell>
          <cell r="D16">
            <v>75</v>
          </cell>
          <cell r="E16">
            <v>85</v>
          </cell>
        </row>
        <row r="17">
          <cell r="C17">
            <v>72.5</v>
          </cell>
          <cell r="D17">
            <v>55</v>
          </cell>
          <cell r="E17">
            <v>47.5</v>
          </cell>
        </row>
        <row r="18">
          <cell r="C18">
            <v>57.5</v>
          </cell>
        </row>
        <row r="19">
          <cell r="C19">
            <v>82.5</v>
          </cell>
        </row>
        <row r="20">
          <cell r="C20">
            <v>25</v>
          </cell>
          <cell r="D20">
            <v>50</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039068E-D495-4CA1-B13F-8C7C90344610}" name="Table1" displayName="Table1" ref="A1:U7" totalsRowShown="0" headerRowDxfId="54">
  <autoFilter ref="A1:U7" xr:uid="{9039068E-D495-4CA1-B13F-8C7C90344610}"/>
  <sortState xmlns:xlrd2="http://schemas.microsoft.com/office/spreadsheetml/2017/richdata2" ref="A2:U7">
    <sortCondition ref="A1:A7"/>
  </sortState>
  <tableColumns count="21">
    <tableColumn id="1" xr3:uid="{67107012-0BA6-44B7-ABE4-BBAA6D02216D}" name="What is your given participant login name?_x000a_(username used when logging into horde.sigma-erebus.com or hermes.sigma-erebus.com)" dataDxfId="53"/>
    <tableColumn id="2" xr3:uid="{0548ECB4-F0E2-466F-A815-1CF8376B54C0}" name="What is your discipline within the team?" dataDxfId="52"/>
    <tableColumn id="3" xr3:uid="{7CFFFBB3-3F02-4EAF-916C-B07681781E4A}" name="What is your specialization within the team?" dataDxfId="51"/>
    <tableColumn id="4" xr3:uid="{478EC3D0-A134-4879-830E-22A4F0AEE77F}" name="1. I think that I would like to use this system frequently"/>
    <tableColumn id="5" xr3:uid="{3087F411-236C-4F9E-85AA-91FBD9F53A87}" name="2. I found the system unnecessarily complex" dataDxfId="50"/>
    <tableColumn id="6" xr3:uid="{88FF474B-1AFC-41CF-8D3F-AE1E387CD288}" name="3. I thought the system was easy to use"/>
    <tableColumn id="7" xr3:uid="{ACAA7FCD-8379-4021-9508-B2C60CF38CF7}" name="4. I think that I would need the support of a technical person to be able to use this system"/>
    <tableColumn id="8" xr3:uid="{A23914ED-BE61-413E-ACD3-10596682E5F3}" name="5. I found the various functions in this system were well integrated"/>
    <tableColumn id="9" xr3:uid="{2B0CCCDB-7CB2-4ADD-B741-0DC1ADC1ABE6}" name="6. I thought there was too much inconsistency in this system"/>
    <tableColumn id="10" xr3:uid="{A78AD5DC-BF23-4645-9546-D3CF4E149B26}" name="7. I would imagine that most people would learn to use this system very quickly"/>
    <tableColumn id="11" xr3:uid="{D4C01E71-B582-417D-AC77-286930F2E861}" name="8. I found the system very cumbersome to use"/>
    <tableColumn id="12" xr3:uid="{0AEC7B6A-DD39-400A-87FF-288D9274F4D4}" name="9. I felt very confident using the system"/>
    <tableColumn id="13" xr3:uid="{3C7D4C1E-85FF-41BC-88F2-BC60B78A2B9F}" name="10. I needed to learn a lot of things before I could get going with this system" dataDxfId="49"/>
    <tableColumn id="14" xr3:uid="{CB6B286B-50FC-461B-AD1D-A3CA54070FC5}" name="11. I think this system positively impacted my team’s development workflow"/>
    <tableColumn id="15" xr3:uid="{0A1D0BDA-7EFF-45EA-AE16-1AF924D3CB71}" name="12. I noticed that the system affected my computer's responsiveness" dataDxfId="48"/>
    <tableColumn id="16" xr3:uid="{07AB1D7E-20DD-4EF3-A858-A09FE79A0E43}" name="13. I think this system positively impacted my personal development workflow"/>
    <tableColumn id="17" xr3:uid="{42558D60-1F9E-4CB3-9065-4B843E193C0B}" name="14. There were times when I found it necessary to disable the system (during work hours)" dataDxfId="47"/>
    <tableColumn id="18" xr3:uid="{8ABC7347-B564-4F04-ADDF-9F71F49971FB}" name="15. I could easily tell whether the system was active (either ready to receive tasks or actively running a task)" dataDxfId="46"/>
    <tableColumn id="19" xr3:uid="{E09540C6-6C3D-4681-A9D9-111AD5B8A2AE}" name="16. There were times where I expected the system to be running when it was not" dataDxfId="45"/>
    <tableColumn id="21" xr3:uid="{B5B440E9-8A07-4DDC-AFE5-2DC7BA273EFE}" name="Additional notes:" dataDxfId="44"/>
    <tableColumn id="22" xr3:uid="{7C173DB8-5044-474B-B5B5-1F29CA0FF816}" name="SUS Score" dataDxfId="43">
      <calculatedColumnFormula>2.5*(20+SUM(D2,F2,H2,J2,L2)-SUM(E2,G2,I2,K2,M2))</calculatedColumnFormula>
    </tableColumn>
  </tableColumns>
  <tableStyleInfo name="TableStyleDark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B0C8D27-2BD6-4A40-8177-8ABE3BE99E0B}" name="Table13" displayName="Table13" ref="A1:U10" totalsRowShown="0" headerRowDxfId="42" headerRowBorderDxfId="41" tableBorderDxfId="40" totalsRowBorderDxfId="39">
  <autoFilter ref="A1:U10" xr:uid="{5B0C8D27-2BD6-4A40-8177-8ABE3BE99E0B}"/>
  <sortState xmlns:xlrd2="http://schemas.microsoft.com/office/spreadsheetml/2017/richdata2" ref="A2:U10">
    <sortCondition ref="A1:A10"/>
  </sortState>
  <tableColumns count="21">
    <tableColumn id="1" xr3:uid="{EBED3439-77E9-4BDE-97B9-F5E1383F0054}" name="What is your given participant login name?_x000a_(username used when logging into horde.sigma-erebus.com or hermes.sigma-erebus.com)"/>
    <tableColumn id="2" xr3:uid="{6A9BEF6C-938A-4DD1-A245-16EA5E4DFFE6}" name="What is your discipline within the team?"/>
    <tableColumn id="3" xr3:uid="{17980A83-9906-490C-A307-F85E8409D8F8}" name="What is your specialization within the team?"/>
    <tableColumn id="4" xr3:uid="{CA3EAB1A-3DA0-4338-AA46-1DA7048A4071}" name="1. I think that I would like to use this system frequently" dataDxfId="38"/>
    <tableColumn id="5" xr3:uid="{0BAEE81D-675E-4C73-B252-AFDCDFDF1DC8}" name="2. I found the system unnecessarily complex" dataDxfId="37"/>
    <tableColumn id="6" xr3:uid="{2AC7453E-86CB-416C-AAF9-1DD1CF66F593}" name="3. I thought the system was easy to use" dataDxfId="36"/>
    <tableColumn id="7" xr3:uid="{E096DC55-E117-463A-A68B-1ABAE286770E}" name="4. I think that I would need the support of a technical person to be able to use this system" dataDxfId="35"/>
    <tableColumn id="8" xr3:uid="{3FCEF542-C8A5-40C5-9FD9-10FD2B1C510E}" name="5. I found the various functions in this system were well integrated" dataDxfId="34"/>
    <tableColumn id="9" xr3:uid="{3CB7E9F6-543B-49F0-9E78-5DBCF01578FB}" name="6. I thought there was too much inconsistency in this system" dataDxfId="33"/>
    <tableColumn id="10" xr3:uid="{FFA92D0B-B98E-4A8D-A18E-F0FFE483AF0A}" name="7. I would imagine that most people would learn to use this system very quickly" dataDxfId="32"/>
    <tableColumn id="11" xr3:uid="{006F7133-04FF-4771-816A-8848F3B8A91A}" name="8. I found the system very cumbersome to use" dataDxfId="31"/>
    <tableColumn id="12" xr3:uid="{E9AFE7A3-4ECB-4DE4-8721-AD828A13EFBF}" name="9. I felt very confident using the system" dataDxfId="30"/>
    <tableColumn id="13" xr3:uid="{9D50ABA1-44DF-48F5-8867-FA328B002C97}" name="10. I needed to learn a lot of things before I could get going with this system" dataDxfId="29"/>
    <tableColumn id="14" xr3:uid="{8694B1DC-F72E-4C7C-BF42-4989A9C67F34}" name="11. I think this system positively impacted my team’s development workflow" dataDxfId="28"/>
    <tableColumn id="15" xr3:uid="{EA8445EC-6BC7-4C23-BEF0-FBED08B21D68}" name="12. I noticed that the system affected my computer's responsiveness" dataDxfId="27"/>
    <tableColumn id="16" xr3:uid="{06041615-63B3-4FF5-BFD2-6D368560B6B5}" name="13. I think this system positively impacted my personal development workflow" dataDxfId="26"/>
    <tableColumn id="17" xr3:uid="{C4D3CDC8-6D14-4F6C-9F29-FF8A55169B72}" name="14. There were times when I found it necessary to disable the system (during work hours)" dataDxfId="25"/>
    <tableColumn id="18" xr3:uid="{D884E70B-1706-4F38-BB9A-879E8D9F6100}" name="15. I could easily tell whether the system was active (either ready to receive tasks or actively running a task)" dataDxfId="24"/>
    <tableColumn id="19" xr3:uid="{C5AA6604-84BB-44EA-A2F8-F23A1526B3D3}" name="16. There were times where I expected the system to be running when it was not" dataDxfId="23"/>
    <tableColumn id="21" xr3:uid="{9620C799-E064-473B-B289-D8816406B53D}" name="Additional notes:"/>
    <tableColumn id="22" xr3:uid="{0618C6F0-62EF-4F06-913B-99E2D2EDF4F1}" name="SUS Score" dataDxfId="22">
      <calculatedColumnFormula>2.5*(20+SUM(D2,F2,H2,J2,L2)-SUM(E2,G2,I2,K2,M2))</calculatedColumnFormula>
    </tableColumn>
  </tableColumns>
  <tableStyleInfo name="TableStyleDark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168EC8D-3B77-4B5B-8D26-A3C09BBC15AD}" name="Table134" displayName="Table134" ref="A1:U12" totalsRowShown="0" headerRowDxfId="21" headerRowBorderDxfId="20" tableBorderDxfId="19" totalsRowBorderDxfId="18">
  <autoFilter ref="A1:U12" xr:uid="{8168EC8D-3B77-4B5B-8D26-A3C09BBC15AD}"/>
  <tableColumns count="21">
    <tableColumn id="1" xr3:uid="{F5CF0E2E-2CE8-4019-A6B4-330E201F2436}" name="What is your given participant login name?_x000a_(username used when logging into horde.sigma-erebus.com or hermes.sigma-erebus.com)"/>
    <tableColumn id="2" xr3:uid="{62C10057-FFA2-4499-8E02-5236E204C58A}" name="What is your discipline within the team?"/>
    <tableColumn id="3" xr3:uid="{183959FD-0B43-461A-B809-C7D8DB99453F}" name="What is your specialization within the team?"/>
    <tableColumn id="4" xr3:uid="{B5D1EE78-9039-4479-97F4-7ADFB70DD147}" name="1. I think that I would like to use this system frequently" dataDxfId="17"/>
    <tableColumn id="5" xr3:uid="{0ACB9CEB-1CEF-45A9-BC12-34EF31770C6F}" name="2. I found the system unnecessarily complex" dataDxfId="16"/>
    <tableColumn id="6" xr3:uid="{347BC8BE-61D8-4E5A-8E21-3E01CB09C633}" name="3. I thought the system was easy to use" dataDxfId="15"/>
    <tableColumn id="7" xr3:uid="{9635F101-23F5-438B-85EC-AF9E6AADABEA}" name="4. I think that I would need the support of a technical person to be able to use this system" dataDxfId="14"/>
    <tableColumn id="8" xr3:uid="{187FF7C4-E8FB-4A55-898C-F6C70D4AD7E3}" name="5. I found the various functions in this system were well integrated" dataDxfId="13"/>
    <tableColumn id="9" xr3:uid="{1E437361-3C86-4334-A8FD-8AAC31D76426}" name="6. I thought there was too much inconsistency in this system" dataDxfId="12"/>
    <tableColumn id="10" xr3:uid="{5F9D071E-4FE2-4367-9FBD-41D2368B9394}" name="7. I would imagine that most people would learn to use this system very quickly" dataDxfId="11"/>
    <tableColumn id="11" xr3:uid="{DE6F6C0E-C709-4EE1-BF7E-9F25025C3953}" name="8. I found the system very cumbersome to use" dataDxfId="10"/>
    <tableColumn id="12" xr3:uid="{A1E5996E-C6D1-4441-816A-072A200C5240}" name="9. I felt very confident using the system" dataDxfId="9"/>
    <tableColumn id="13" xr3:uid="{00AB0619-DAC8-49C6-A7AF-1925D8C6D85C}" name="10. I needed to learn a lot of things before I could get going with this system" dataDxfId="8"/>
    <tableColumn id="14" xr3:uid="{EC18C781-657F-41B0-AEC3-88FA4ACE2890}" name="11. I think this system positively impacted my team’s development workflow" dataDxfId="7"/>
    <tableColumn id="15" xr3:uid="{530544FE-6894-4D2F-9D45-58AB422F1413}" name="12. I noticed that the system affected my computer's responsiveness" dataDxfId="6"/>
    <tableColumn id="16" xr3:uid="{FFE400E1-F7E6-411F-9EC9-52C78FE3B735}" name="13. I think this system positively impacted my personal development workflow" dataDxfId="5"/>
    <tableColumn id="17" xr3:uid="{035EE494-59F6-4D65-98FF-E1794B9A2EA9}" name="14. There were times when I found it necessary to disable the system (during work hours)" dataDxfId="4"/>
    <tableColumn id="18" xr3:uid="{DD3F22DB-CB86-4C42-9924-9AB6977555B5}" name="15. I could easily tell whether the system was active (either ready to receive tasks or actively running a task)" dataDxfId="3"/>
    <tableColumn id="19" xr3:uid="{21B35FCA-E67D-4395-B282-C4587050B2CE}" name="16. There were times where I expected the system to be running when it was not" dataDxfId="2"/>
    <tableColumn id="21" xr3:uid="{37270CC0-7B95-4634-89DE-C983014FA15F}" name="Additional notes:" dataDxfId="1"/>
    <tableColumn id="22" xr3:uid="{32778F68-D3A9-446E-A09B-6D6BC3DD35DA}" name="SUS Score" dataDxfId="0">
      <calculatedColumnFormula>2.5*(20+SUM(D2,F2,H2,J2,L2)-SUM(E2,G2,I2,K2,M2))</calculatedColumnFormula>
    </tableColumn>
  </tableColumns>
  <tableStyleInfo name="TableStyleDark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B0211-05EB-4F48-9691-E36453C95F83}">
  <dimension ref="A1:U9"/>
  <sheetViews>
    <sheetView topLeftCell="I3" zoomScale="55" zoomScaleNormal="55" workbookViewId="0">
      <selection activeCell="T6" sqref="T6"/>
    </sheetView>
  </sheetViews>
  <sheetFormatPr defaultRowHeight="15" x14ac:dyDescent="0.25"/>
  <cols>
    <col min="1" max="19" width="34.28515625" customWidth="1"/>
    <col min="20" max="20" width="91.42578125" customWidth="1"/>
    <col min="21" max="21" width="34.28515625" customWidth="1"/>
  </cols>
  <sheetData>
    <row r="1" spans="1:21" ht="90.75" customHeight="1" x14ac:dyDescent="0.25">
      <c r="A1" s="12" t="s">
        <v>0</v>
      </c>
      <c r="B1" s="12" t="s">
        <v>1</v>
      </c>
      <c r="C1" s="12" t="s">
        <v>2</v>
      </c>
      <c r="D1" s="12" t="s">
        <v>3</v>
      </c>
      <c r="E1" s="12" t="s">
        <v>4</v>
      </c>
      <c r="F1" s="12" t="s">
        <v>5</v>
      </c>
      <c r="G1" s="12" t="s">
        <v>6</v>
      </c>
      <c r="H1" s="12" t="s">
        <v>7</v>
      </c>
      <c r="I1" s="12" t="s">
        <v>8</v>
      </c>
      <c r="J1" s="12" t="s">
        <v>9</v>
      </c>
      <c r="K1" s="12" t="s">
        <v>10</v>
      </c>
      <c r="L1" s="12" t="s">
        <v>11</v>
      </c>
      <c r="M1" s="12" t="s">
        <v>12</v>
      </c>
      <c r="N1" s="12" t="s">
        <v>13</v>
      </c>
      <c r="O1" s="12" t="s">
        <v>14</v>
      </c>
      <c r="P1" s="12" t="s">
        <v>15</v>
      </c>
      <c r="Q1" s="12" t="s">
        <v>16</v>
      </c>
      <c r="R1" s="12" t="s">
        <v>17</v>
      </c>
      <c r="S1" s="12" t="s">
        <v>18</v>
      </c>
      <c r="T1" s="12" t="s">
        <v>19</v>
      </c>
      <c r="U1" s="12" t="s">
        <v>20</v>
      </c>
    </row>
    <row r="2" spans="1:21" ht="180" customHeight="1" x14ac:dyDescent="0.25">
      <c r="A2" s="13" t="s">
        <v>21</v>
      </c>
      <c r="B2" s="14" t="s">
        <v>22</v>
      </c>
      <c r="C2" s="13" t="s">
        <v>23</v>
      </c>
      <c r="D2" s="15">
        <v>4</v>
      </c>
      <c r="E2" s="16">
        <v>2</v>
      </c>
      <c r="F2" s="17">
        <v>5</v>
      </c>
      <c r="G2" s="17">
        <v>1</v>
      </c>
      <c r="H2" s="18">
        <v>3</v>
      </c>
      <c r="I2" s="16">
        <v>2</v>
      </c>
      <c r="J2" s="15">
        <v>4</v>
      </c>
      <c r="K2" s="16">
        <v>2</v>
      </c>
      <c r="L2" s="15">
        <v>4</v>
      </c>
      <c r="M2" s="17">
        <v>1</v>
      </c>
      <c r="N2" s="15">
        <v>4</v>
      </c>
      <c r="O2" s="18">
        <v>3</v>
      </c>
      <c r="P2" s="18">
        <v>3</v>
      </c>
      <c r="Q2" s="18">
        <v>3</v>
      </c>
      <c r="R2" s="19">
        <v>1</v>
      </c>
      <c r="S2" s="18">
        <v>3</v>
      </c>
      <c r="T2" s="21" t="s">
        <v>24</v>
      </c>
      <c r="U2" s="22">
        <f t="shared" ref="U2:U7" si="0">2.5*(20+SUM(D2,F2,H2,J2,L2)-SUM(E2,G2,I2,K2,M2))</f>
        <v>80</v>
      </c>
    </row>
    <row r="3" spans="1:21" ht="180" customHeight="1" x14ac:dyDescent="0.25">
      <c r="A3" s="13" t="s">
        <v>34</v>
      </c>
      <c r="B3" s="29" t="s">
        <v>35</v>
      </c>
      <c r="C3" s="13" t="s">
        <v>36</v>
      </c>
      <c r="D3" s="15">
        <v>4</v>
      </c>
      <c r="E3" s="17">
        <v>1</v>
      </c>
      <c r="F3" s="15">
        <v>4</v>
      </c>
      <c r="G3" s="17">
        <v>1</v>
      </c>
      <c r="H3" s="15">
        <v>4</v>
      </c>
      <c r="I3" s="17">
        <v>1</v>
      </c>
      <c r="J3" s="17">
        <v>5</v>
      </c>
      <c r="K3" s="17">
        <v>1</v>
      </c>
      <c r="L3" s="15">
        <v>4</v>
      </c>
      <c r="M3" s="17">
        <v>1</v>
      </c>
      <c r="N3" s="18">
        <v>3</v>
      </c>
      <c r="O3" s="16">
        <v>2</v>
      </c>
      <c r="P3" s="15">
        <v>4</v>
      </c>
      <c r="Q3" s="17">
        <v>1</v>
      </c>
      <c r="R3" s="19">
        <v>1</v>
      </c>
      <c r="S3" s="17">
        <v>1</v>
      </c>
      <c r="T3" s="21" t="s">
        <v>37</v>
      </c>
      <c r="U3" s="22">
        <f t="shared" si="0"/>
        <v>90</v>
      </c>
    </row>
    <row r="4" spans="1:21" ht="180" customHeight="1" x14ac:dyDescent="0.25">
      <c r="A4" s="23" t="s">
        <v>25</v>
      </c>
      <c r="B4" s="24" t="s">
        <v>26</v>
      </c>
      <c r="C4" s="23" t="s">
        <v>27</v>
      </c>
      <c r="D4" s="17">
        <v>5</v>
      </c>
      <c r="E4" s="17">
        <v>1</v>
      </c>
      <c r="F4" s="15">
        <v>4</v>
      </c>
      <c r="G4" s="16">
        <v>2</v>
      </c>
      <c r="H4" s="17">
        <v>5</v>
      </c>
      <c r="I4" s="25">
        <v>4</v>
      </c>
      <c r="J4" s="15">
        <v>4</v>
      </c>
      <c r="K4" s="25">
        <v>4</v>
      </c>
      <c r="L4" s="15">
        <v>4</v>
      </c>
      <c r="M4" s="16">
        <v>2</v>
      </c>
      <c r="N4" s="26">
        <v>2</v>
      </c>
      <c r="O4" s="19">
        <v>5</v>
      </c>
      <c r="P4" s="17">
        <v>5</v>
      </c>
      <c r="Q4" s="17">
        <v>1</v>
      </c>
      <c r="R4" s="17">
        <v>5</v>
      </c>
      <c r="S4" s="17">
        <v>1</v>
      </c>
      <c r="T4" s="27" t="s">
        <v>28</v>
      </c>
      <c r="U4" s="22">
        <f t="shared" si="0"/>
        <v>72.5</v>
      </c>
    </row>
    <row r="5" spans="1:21" ht="180" customHeight="1" x14ac:dyDescent="0.25">
      <c r="A5" s="23" t="s">
        <v>38</v>
      </c>
      <c r="B5" s="28" t="s">
        <v>30</v>
      </c>
      <c r="C5" s="23" t="s">
        <v>39</v>
      </c>
      <c r="D5" s="18">
        <v>3</v>
      </c>
      <c r="E5" s="17">
        <v>1</v>
      </c>
      <c r="F5" s="18">
        <v>3</v>
      </c>
      <c r="G5" s="19">
        <v>5</v>
      </c>
      <c r="H5" s="18">
        <v>3</v>
      </c>
      <c r="I5" s="18">
        <v>3</v>
      </c>
      <c r="J5" s="15">
        <v>4</v>
      </c>
      <c r="K5" s="18">
        <v>3</v>
      </c>
      <c r="L5" s="18">
        <v>3</v>
      </c>
      <c r="M5" s="17">
        <v>1</v>
      </c>
      <c r="N5" s="18">
        <v>3</v>
      </c>
      <c r="O5" s="17">
        <v>1</v>
      </c>
      <c r="P5" s="19">
        <v>1</v>
      </c>
      <c r="Q5" s="17">
        <v>1</v>
      </c>
      <c r="R5" s="19">
        <v>1</v>
      </c>
      <c r="S5" s="17">
        <v>1</v>
      </c>
      <c r="T5" s="27" t="s">
        <v>40</v>
      </c>
      <c r="U5" s="22">
        <f t="shared" si="0"/>
        <v>57.5</v>
      </c>
    </row>
    <row r="6" spans="1:21" ht="180" customHeight="1" x14ac:dyDescent="0.25">
      <c r="A6" s="23" t="s">
        <v>32</v>
      </c>
      <c r="B6" s="14" t="s">
        <v>22</v>
      </c>
      <c r="C6" s="23" t="s">
        <v>33</v>
      </c>
      <c r="D6" s="26">
        <v>2</v>
      </c>
      <c r="E6" s="17">
        <v>1</v>
      </c>
      <c r="F6" s="17">
        <v>5</v>
      </c>
      <c r="G6" s="16">
        <v>2</v>
      </c>
      <c r="H6" s="17">
        <v>5</v>
      </c>
      <c r="I6" s="17">
        <v>1</v>
      </c>
      <c r="J6" s="17">
        <v>5</v>
      </c>
      <c r="K6" s="17">
        <v>1</v>
      </c>
      <c r="L6" s="26">
        <v>2</v>
      </c>
      <c r="M6" s="17">
        <v>1</v>
      </c>
      <c r="N6" s="26">
        <v>2</v>
      </c>
      <c r="O6" s="19">
        <v>5</v>
      </c>
      <c r="P6" s="19">
        <v>1</v>
      </c>
      <c r="Q6" s="19">
        <v>5</v>
      </c>
      <c r="R6" s="26">
        <v>2</v>
      </c>
      <c r="S6" s="18">
        <v>3</v>
      </c>
      <c r="T6" s="27" t="s">
        <v>107</v>
      </c>
      <c r="U6" s="22">
        <f t="shared" si="0"/>
        <v>82.5</v>
      </c>
    </row>
    <row r="7" spans="1:21" ht="180" customHeight="1" x14ac:dyDescent="0.25">
      <c r="A7" s="13" t="s">
        <v>29</v>
      </c>
      <c r="B7" s="28" t="s">
        <v>30</v>
      </c>
      <c r="C7" s="13" t="s">
        <v>31</v>
      </c>
      <c r="D7" s="18">
        <v>3</v>
      </c>
      <c r="E7" s="25">
        <v>4</v>
      </c>
      <c r="F7" s="26">
        <v>2</v>
      </c>
      <c r="G7" s="19">
        <v>5</v>
      </c>
      <c r="H7" s="18">
        <v>3</v>
      </c>
      <c r="I7" s="18">
        <v>3</v>
      </c>
      <c r="J7" s="19">
        <v>1</v>
      </c>
      <c r="K7" s="19">
        <v>5</v>
      </c>
      <c r="L7" s="26">
        <v>2</v>
      </c>
      <c r="M7" s="25">
        <v>4</v>
      </c>
      <c r="N7" s="18">
        <v>3</v>
      </c>
      <c r="O7" s="19">
        <v>5</v>
      </c>
      <c r="P7" s="26">
        <v>2</v>
      </c>
      <c r="Q7" s="17">
        <v>1</v>
      </c>
      <c r="R7" s="19">
        <v>1</v>
      </c>
      <c r="S7" s="18">
        <v>3</v>
      </c>
      <c r="T7" s="20"/>
      <c r="U7" s="22">
        <f t="shared" si="0"/>
        <v>25</v>
      </c>
    </row>
    <row r="9" spans="1:21" ht="90" customHeight="1" x14ac:dyDescent="0.25">
      <c r="D9" s="10">
        <f>AVERAGE(Table1[1. I think that I would like to use this system frequently])</f>
        <v>3.5</v>
      </c>
      <c r="E9" s="10">
        <f>AVERAGE(Table1[2. I found the system unnecessarily complex])</f>
        <v>1.6666666666666667</v>
      </c>
      <c r="F9" s="10">
        <f>AVERAGE(Table1[3. I thought the system was easy to use])</f>
        <v>3.8333333333333335</v>
      </c>
      <c r="G9" s="10">
        <f>AVERAGE(Table1[4. I think that I would need the support of a technical person to be able to use this system])</f>
        <v>2.6666666666666665</v>
      </c>
      <c r="H9" s="10">
        <f>AVERAGE(Table1[5. I found the various functions in this system were well integrated])</f>
        <v>3.8333333333333335</v>
      </c>
      <c r="I9" s="10">
        <f>AVERAGE(Table1[6. I thought there was too much inconsistency in this system])</f>
        <v>2.3333333333333335</v>
      </c>
      <c r="J9" s="10">
        <f>AVERAGE(Table1[7. I would imagine that most people would learn to use this system very quickly])</f>
        <v>3.8333333333333335</v>
      </c>
      <c r="K9" s="10">
        <f>AVERAGE(Table1[8. I found the system very cumbersome to use])</f>
        <v>2.6666666666666665</v>
      </c>
      <c r="L9" s="10">
        <f>AVERAGE(Table1[9. I felt very confident using the system])</f>
        <v>3.1666666666666665</v>
      </c>
      <c r="M9" s="10">
        <f>AVERAGE(Table1[10. I needed to learn a lot of things before I could get going with this system])</f>
        <v>1.6666666666666667</v>
      </c>
      <c r="N9" s="10">
        <f>AVERAGE(Table1[11. I think this system positively impacted my team’s development workflow])</f>
        <v>2.8333333333333335</v>
      </c>
      <c r="O9" s="10">
        <f>AVERAGE(Table1[12. I noticed that the system affected my computer''s responsiveness])</f>
        <v>3.5</v>
      </c>
      <c r="P9" s="10">
        <f>AVERAGE(Table1[13. I think this system positively impacted my personal development workflow])</f>
        <v>2.6666666666666665</v>
      </c>
      <c r="Q9" s="10">
        <f>AVERAGE(Table1[14. There were times when I found it necessary to disable the system (during work hours)])</f>
        <v>2</v>
      </c>
      <c r="R9" s="10">
        <f>AVERAGE(Table1[15. I could easily tell whether the system was active (either ready to receive tasks or actively running a task)])</f>
        <v>1.8333333333333333</v>
      </c>
      <c r="S9" s="10">
        <f>AVERAGE(Table1[16. There were times where I expected the system to be running when it was not])</f>
        <v>2</v>
      </c>
      <c r="T9" s="11"/>
      <c r="U9" s="10">
        <f>AVERAGE(Table1[SUS Score])</f>
        <v>67.916666666666671</v>
      </c>
    </row>
  </sheetData>
  <conditionalFormatting sqref="D1:D9 F1:F9 H1:H9 J1:J9 L1:L9 N1:N9 P1:P9 R1:R9">
    <cfRule type="colorScale" priority="3">
      <colorScale>
        <cfvo type="num" val="0"/>
        <cfvo type="num" val="3"/>
        <cfvo type="num" val="5"/>
        <color rgb="FFFF0000"/>
        <color rgb="FFFFFF00"/>
        <color rgb="FF00B050"/>
      </colorScale>
    </cfRule>
  </conditionalFormatting>
  <conditionalFormatting sqref="E1:E9 G1:G9 I1:I9 K1:K9 M1:M9 O1:O9 Q1:Q9 S1:S9">
    <cfRule type="colorScale" priority="1">
      <colorScale>
        <cfvo type="num" val="1"/>
        <cfvo type="num" val="3"/>
        <cfvo type="num" val="6"/>
        <color rgb="FF00B050"/>
        <color rgb="FFFFFF00"/>
        <color rgb="FFFF0000"/>
      </colorScale>
    </cfRule>
  </conditionalFormatting>
  <conditionalFormatting sqref="U1:U9">
    <cfRule type="colorScale" priority="2">
      <colorScale>
        <cfvo type="num" val="0"/>
        <cfvo type="num" val="50"/>
        <cfvo type="num" val="100"/>
        <color rgb="FFFF0000"/>
        <color rgb="FFFFFF00"/>
        <color rgb="FF00B050"/>
      </colorScale>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A4BBE-2D17-49E9-8A93-C312D3FCA378}">
  <dimension ref="A1:U12"/>
  <sheetViews>
    <sheetView topLeftCell="E6" zoomScale="40" zoomScaleNormal="40" workbookViewId="0">
      <selection activeCell="T8" sqref="T8"/>
    </sheetView>
  </sheetViews>
  <sheetFormatPr defaultRowHeight="15" x14ac:dyDescent="0.25"/>
  <cols>
    <col min="1" max="19" width="34.28515625" customWidth="1"/>
    <col min="20" max="20" width="91.42578125" customWidth="1"/>
    <col min="21" max="21" width="34.28515625" customWidth="1"/>
  </cols>
  <sheetData>
    <row r="1" spans="1:21" ht="90" customHeight="1" thickBot="1" x14ac:dyDescent="0.3">
      <c r="A1" s="1" t="s">
        <v>0</v>
      </c>
      <c r="B1" s="2" t="s">
        <v>1</v>
      </c>
      <c r="C1" s="2"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2" t="s">
        <v>19</v>
      </c>
      <c r="U1" s="4" t="s">
        <v>20</v>
      </c>
    </row>
    <row r="2" spans="1:21" ht="180" customHeight="1" thickBot="1" x14ac:dyDescent="0.3">
      <c r="A2" s="30" t="s">
        <v>46</v>
      </c>
      <c r="B2" s="31" t="s">
        <v>35</v>
      </c>
      <c r="C2" s="32" t="s">
        <v>47</v>
      </c>
      <c r="D2" s="33">
        <v>4</v>
      </c>
      <c r="E2" s="33">
        <v>2</v>
      </c>
      <c r="F2" s="33">
        <v>3</v>
      </c>
      <c r="G2" s="33">
        <v>4</v>
      </c>
      <c r="H2" s="33">
        <v>3</v>
      </c>
      <c r="I2" s="33">
        <v>3</v>
      </c>
      <c r="J2" s="33">
        <v>3</v>
      </c>
      <c r="K2" s="33">
        <v>2</v>
      </c>
      <c r="L2" s="33">
        <v>3</v>
      </c>
      <c r="M2" s="33">
        <v>4</v>
      </c>
      <c r="N2" s="33">
        <v>4</v>
      </c>
      <c r="O2" s="33">
        <v>1</v>
      </c>
      <c r="P2" s="33">
        <v>2</v>
      </c>
      <c r="Q2" s="33">
        <v>1</v>
      </c>
      <c r="R2" s="33">
        <v>2</v>
      </c>
      <c r="S2" s="33">
        <v>1</v>
      </c>
      <c r="T2" s="31" t="s">
        <v>48</v>
      </c>
      <c r="U2" s="7">
        <f t="shared" ref="U2:U10" si="0">2.5*(20+SUM(D2,F2,H2,J2,L2)-SUM(E2,G2,I2,K2,M2))</f>
        <v>52.5</v>
      </c>
    </row>
    <row r="3" spans="1:21" ht="180" customHeight="1" thickBot="1" x14ac:dyDescent="0.3">
      <c r="A3" s="34" t="s">
        <v>44</v>
      </c>
      <c r="B3" s="9" t="s">
        <v>26</v>
      </c>
      <c r="C3" s="8" t="s">
        <v>45</v>
      </c>
      <c r="D3" s="22">
        <v>4</v>
      </c>
      <c r="E3" s="22">
        <v>2</v>
      </c>
      <c r="F3" s="22">
        <v>4</v>
      </c>
      <c r="G3" s="22">
        <v>2</v>
      </c>
      <c r="H3" s="22">
        <v>3</v>
      </c>
      <c r="I3" s="22">
        <v>3</v>
      </c>
      <c r="J3" s="22">
        <v>4</v>
      </c>
      <c r="K3" s="22">
        <v>1</v>
      </c>
      <c r="L3" s="22">
        <v>3</v>
      </c>
      <c r="M3" s="22">
        <v>2</v>
      </c>
      <c r="N3" s="22">
        <v>3</v>
      </c>
      <c r="O3" s="22">
        <v>2</v>
      </c>
      <c r="P3" s="22">
        <v>3</v>
      </c>
      <c r="Q3" s="22">
        <v>1</v>
      </c>
      <c r="R3" s="22">
        <v>1</v>
      </c>
      <c r="S3" s="22">
        <v>1</v>
      </c>
      <c r="T3" s="35"/>
      <c r="U3" s="7">
        <f t="shared" si="0"/>
        <v>70</v>
      </c>
    </row>
    <row r="4" spans="1:21" ht="180" customHeight="1" thickBot="1" x14ac:dyDescent="0.3">
      <c r="A4" s="38" t="s">
        <v>51</v>
      </c>
      <c r="B4" s="41" t="s">
        <v>30</v>
      </c>
      <c r="C4" s="8" t="s">
        <v>52</v>
      </c>
      <c r="D4" s="22">
        <v>3</v>
      </c>
      <c r="E4" s="22">
        <v>1</v>
      </c>
      <c r="F4" s="22">
        <v>4</v>
      </c>
      <c r="G4" s="22">
        <v>5</v>
      </c>
      <c r="H4" s="22">
        <v>3</v>
      </c>
      <c r="I4" s="22">
        <v>1</v>
      </c>
      <c r="J4" s="22">
        <v>4</v>
      </c>
      <c r="K4" s="22">
        <v>2</v>
      </c>
      <c r="L4" s="22">
        <v>3</v>
      </c>
      <c r="M4" s="22">
        <v>3</v>
      </c>
      <c r="N4" s="22">
        <v>3</v>
      </c>
      <c r="O4" s="22">
        <v>1</v>
      </c>
      <c r="P4" s="22">
        <v>3</v>
      </c>
      <c r="Q4" s="22">
        <v>3</v>
      </c>
      <c r="R4" s="22">
        <v>1</v>
      </c>
      <c r="S4" s="22">
        <v>2</v>
      </c>
      <c r="T4" s="41" t="s">
        <v>53</v>
      </c>
      <c r="U4" s="7">
        <f t="shared" si="0"/>
        <v>62.5</v>
      </c>
    </row>
    <row r="5" spans="1:21" ht="180" customHeight="1" thickBot="1" x14ac:dyDescent="0.3">
      <c r="A5" s="39" t="s">
        <v>49</v>
      </c>
      <c r="B5" s="42" t="s">
        <v>26</v>
      </c>
      <c r="C5" s="5" t="s">
        <v>50</v>
      </c>
      <c r="D5" s="33">
        <v>3</v>
      </c>
      <c r="E5" s="33">
        <v>1</v>
      </c>
      <c r="F5" s="33">
        <v>4</v>
      </c>
      <c r="G5" s="33">
        <v>2</v>
      </c>
      <c r="H5" s="33">
        <v>3</v>
      </c>
      <c r="I5" s="33">
        <v>2</v>
      </c>
      <c r="J5" s="33">
        <v>5</v>
      </c>
      <c r="K5" s="33">
        <v>2</v>
      </c>
      <c r="L5" s="33">
        <v>3</v>
      </c>
      <c r="M5" s="33">
        <v>1</v>
      </c>
      <c r="N5" s="33">
        <v>3</v>
      </c>
      <c r="O5" s="33">
        <v>3</v>
      </c>
      <c r="P5" s="33">
        <v>2</v>
      </c>
      <c r="Q5" s="33">
        <v>2</v>
      </c>
      <c r="R5" s="33">
        <v>2</v>
      </c>
      <c r="S5" s="33">
        <v>3</v>
      </c>
      <c r="T5" s="45"/>
      <c r="U5" s="7">
        <f t="shared" si="0"/>
        <v>75</v>
      </c>
    </row>
    <row r="6" spans="1:21" ht="180" customHeight="1" thickBot="1" x14ac:dyDescent="0.3">
      <c r="A6" s="36" t="s">
        <v>41</v>
      </c>
      <c r="B6" s="6" t="s">
        <v>22</v>
      </c>
      <c r="C6" s="5" t="s">
        <v>42</v>
      </c>
      <c r="D6" s="33">
        <v>5</v>
      </c>
      <c r="E6" s="33">
        <v>1</v>
      </c>
      <c r="F6" s="33">
        <v>5</v>
      </c>
      <c r="G6" s="33">
        <v>2</v>
      </c>
      <c r="H6" s="33">
        <v>3</v>
      </c>
      <c r="I6" s="33">
        <v>2</v>
      </c>
      <c r="J6" s="33">
        <v>5</v>
      </c>
      <c r="K6" s="33">
        <v>2</v>
      </c>
      <c r="L6" s="33">
        <v>3</v>
      </c>
      <c r="M6" s="33">
        <v>3</v>
      </c>
      <c r="N6" s="33">
        <v>4</v>
      </c>
      <c r="O6" s="33">
        <v>1</v>
      </c>
      <c r="P6" s="33">
        <v>3</v>
      </c>
      <c r="Q6" s="33">
        <v>1</v>
      </c>
      <c r="R6" s="33">
        <v>5</v>
      </c>
      <c r="S6" s="33">
        <v>1</v>
      </c>
      <c r="T6" s="6" t="s">
        <v>43</v>
      </c>
      <c r="U6" s="37">
        <f t="shared" si="0"/>
        <v>77.5</v>
      </c>
    </row>
    <row r="7" spans="1:21" ht="180" customHeight="1" thickBot="1" x14ac:dyDescent="0.3">
      <c r="A7" s="39" t="s">
        <v>21</v>
      </c>
      <c r="B7" s="42" t="s">
        <v>22</v>
      </c>
      <c r="C7" s="5" t="s">
        <v>54</v>
      </c>
      <c r="D7" s="33">
        <v>5</v>
      </c>
      <c r="E7" s="33">
        <v>2</v>
      </c>
      <c r="F7" s="33">
        <v>3</v>
      </c>
      <c r="G7" s="33">
        <v>1</v>
      </c>
      <c r="H7" s="33">
        <v>3</v>
      </c>
      <c r="I7" s="33">
        <v>1</v>
      </c>
      <c r="J7" s="33">
        <v>3</v>
      </c>
      <c r="K7" s="33">
        <v>3</v>
      </c>
      <c r="L7" s="33">
        <v>3</v>
      </c>
      <c r="M7" s="33">
        <v>1</v>
      </c>
      <c r="N7" s="33">
        <v>4</v>
      </c>
      <c r="O7" s="33">
        <v>2</v>
      </c>
      <c r="P7" s="33">
        <v>4</v>
      </c>
      <c r="Q7" s="33">
        <v>1</v>
      </c>
      <c r="R7" s="33">
        <v>2</v>
      </c>
      <c r="S7" s="33">
        <v>4</v>
      </c>
      <c r="T7" s="45"/>
      <c r="U7" s="37">
        <f t="shared" si="0"/>
        <v>72.5</v>
      </c>
    </row>
    <row r="8" spans="1:21" ht="180" customHeight="1" thickBot="1" x14ac:dyDescent="0.3">
      <c r="A8" s="36" t="s">
        <v>34</v>
      </c>
      <c r="B8" s="6" t="s">
        <v>35</v>
      </c>
      <c r="C8" s="5" t="s">
        <v>55</v>
      </c>
      <c r="D8" s="33">
        <v>3</v>
      </c>
      <c r="E8" s="33">
        <v>2</v>
      </c>
      <c r="F8" s="33">
        <v>4</v>
      </c>
      <c r="G8" s="33">
        <v>2</v>
      </c>
      <c r="H8" s="33">
        <v>4</v>
      </c>
      <c r="I8" s="33">
        <v>1</v>
      </c>
      <c r="J8" s="33">
        <v>4</v>
      </c>
      <c r="K8" s="33">
        <v>2</v>
      </c>
      <c r="L8" s="33">
        <v>3</v>
      </c>
      <c r="M8" s="33">
        <v>1</v>
      </c>
      <c r="N8" s="33">
        <v>2</v>
      </c>
      <c r="O8" s="33">
        <v>2</v>
      </c>
      <c r="P8" s="33">
        <v>3</v>
      </c>
      <c r="Q8" s="33">
        <v>1</v>
      </c>
      <c r="R8" s="33">
        <v>2</v>
      </c>
      <c r="S8" s="33">
        <v>2</v>
      </c>
      <c r="T8" s="6" t="s">
        <v>56</v>
      </c>
      <c r="U8" s="37">
        <f t="shared" si="0"/>
        <v>75</v>
      </c>
    </row>
    <row r="9" spans="1:21" ht="180" customHeight="1" thickBot="1" x14ac:dyDescent="0.3">
      <c r="A9" s="34" t="s">
        <v>25</v>
      </c>
      <c r="B9" s="9" t="s">
        <v>26</v>
      </c>
      <c r="C9" s="8" t="s">
        <v>27</v>
      </c>
      <c r="D9" s="22">
        <v>4</v>
      </c>
      <c r="E9" s="22">
        <v>2</v>
      </c>
      <c r="F9" s="22">
        <v>2</v>
      </c>
      <c r="G9" s="22">
        <v>3</v>
      </c>
      <c r="H9" s="22">
        <v>4</v>
      </c>
      <c r="I9" s="22">
        <v>4</v>
      </c>
      <c r="J9" s="22">
        <v>3</v>
      </c>
      <c r="K9" s="22">
        <v>4</v>
      </c>
      <c r="L9" s="22">
        <v>4</v>
      </c>
      <c r="M9" s="22">
        <v>2</v>
      </c>
      <c r="N9" s="22">
        <v>4</v>
      </c>
      <c r="O9" s="22">
        <v>4</v>
      </c>
      <c r="P9" s="22">
        <v>4</v>
      </c>
      <c r="Q9" s="22">
        <v>1</v>
      </c>
      <c r="R9" s="22">
        <v>3</v>
      </c>
      <c r="S9" s="22">
        <v>1</v>
      </c>
      <c r="T9" s="35"/>
      <c r="U9" s="37">
        <f t="shared" si="0"/>
        <v>55</v>
      </c>
    </row>
    <row r="10" spans="1:21" ht="180" customHeight="1" thickBot="1" x14ac:dyDescent="0.3">
      <c r="A10" s="40" t="s">
        <v>29</v>
      </c>
      <c r="B10" s="43" t="s">
        <v>30</v>
      </c>
      <c r="C10" s="44" t="s">
        <v>31</v>
      </c>
      <c r="D10" s="22">
        <v>2</v>
      </c>
      <c r="E10" s="22">
        <v>3</v>
      </c>
      <c r="F10" s="22">
        <v>4</v>
      </c>
      <c r="G10" s="22">
        <v>5</v>
      </c>
      <c r="H10" s="22">
        <v>5</v>
      </c>
      <c r="I10" s="22">
        <v>4</v>
      </c>
      <c r="J10" s="22">
        <v>4</v>
      </c>
      <c r="K10" s="22">
        <v>4</v>
      </c>
      <c r="L10" s="22">
        <v>2</v>
      </c>
      <c r="M10" s="22">
        <v>1</v>
      </c>
      <c r="N10" s="22">
        <v>2</v>
      </c>
      <c r="O10" s="22">
        <v>5</v>
      </c>
      <c r="P10" s="22">
        <v>2</v>
      </c>
      <c r="Q10" s="22">
        <v>3</v>
      </c>
      <c r="R10" s="22">
        <v>3</v>
      </c>
      <c r="S10" s="22">
        <v>5</v>
      </c>
      <c r="T10" s="46"/>
      <c r="U10" s="7">
        <f t="shared" si="0"/>
        <v>50</v>
      </c>
    </row>
    <row r="12" spans="1:21" ht="90" customHeight="1" x14ac:dyDescent="0.25">
      <c r="D12" s="10">
        <f>AVERAGE(Table13[1. I think that I would like to use this system frequently])</f>
        <v>3.6666666666666665</v>
      </c>
      <c r="E12" s="10">
        <f>AVERAGE(Table13[2. I found the system unnecessarily complex])</f>
        <v>1.7777777777777777</v>
      </c>
      <c r="F12" s="10">
        <f>AVERAGE(Table13[3. I thought the system was easy to use])</f>
        <v>3.6666666666666665</v>
      </c>
      <c r="G12" s="10">
        <f>AVERAGE(Table13[4. I think that I would need the support of a technical person to be able to use this system])</f>
        <v>2.8888888888888888</v>
      </c>
      <c r="H12" s="10">
        <f>AVERAGE(Table13[5. I found the various functions in this system were well integrated])</f>
        <v>3.4444444444444446</v>
      </c>
      <c r="I12" s="10">
        <f>AVERAGE(Table13[6. I thought there was too much inconsistency in this system])</f>
        <v>2.3333333333333335</v>
      </c>
      <c r="J12" s="10">
        <f>AVERAGE(Table13[7. I would imagine that most people would learn to use this system very quickly])</f>
        <v>3.8888888888888888</v>
      </c>
      <c r="K12" s="10">
        <f>AVERAGE(Table13[8. I found the system very cumbersome to use])</f>
        <v>2.4444444444444446</v>
      </c>
      <c r="L12" s="10">
        <f>AVERAGE(Table13[9. I felt very confident using the system])</f>
        <v>3</v>
      </c>
      <c r="M12" s="10">
        <f>AVERAGE(Table13[10. I needed to learn a lot of things before I could get going with this system])</f>
        <v>2</v>
      </c>
      <c r="N12" s="10">
        <f>AVERAGE(Table13[11. I think this system positively impacted my team’s development workflow])</f>
        <v>3.2222222222222223</v>
      </c>
      <c r="O12" s="10">
        <f>AVERAGE(Table13[12. I noticed that the system affected my computer''s responsiveness])</f>
        <v>2.3333333333333335</v>
      </c>
      <c r="P12" s="10">
        <f>AVERAGE(Table13[13. I think this system positively impacted my personal development workflow])</f>
        <v>2.8888888888888888</v>
      </c>
      <c r="Q12" s="10">
        <f>AVERAGE(Table13[14. There were times when I found it necessary to disable the system (during work hours)])</f>
        <v>1.5555555555555556</v>
      </c>
      <c r="R12" s="10">
        <f>AVERAGE(Table13[15. I could easily tell whether the system was active (either ready to receive tasks or actively running a task)])</f>
        <v>2.3333333333333335</v>
      </c>
      <c r="S12" s="10">
        <f>AVERAGE(Table13[16. There were times where I expected the system to be running when it was not])</f>
        <v>2.2222222222222223</v>
      </c>
      <c r="T12" s="11"/>
      <c r="U12" s="10">
        <f>AVERAGE(Table13[SUS Score])</f>
        <v>65.555555555555557</v>
      </c>
    </row>
  </sheetData>
  <conditionalFormatting sqref="D1:D12 F1:F12 H1:H12 J1:J12 L1:L12 N1:N12 P1:P12 R1:R12">
    <cfRule type="colorScale" priority="3">
      <colorScale>
        <cfvo type="num" val="0"/>
        <cfvo type="num" val="3"/>
        <cfvo type="num" val="5"/>
        <color rgb="FFFF0000"/>
        <color rgb="FFFFFF00"/>
        <color rgb="FF00B050"/>
      </colorScale>
    </cfRule>
  </conditionalFormatting>
  <conditionalFormatting sqref="E1:E12 G1:G12 I1:I12 K1:K12 M1:M12 O1:O12 Q1:Q12 S1:S12">
    <cfRule type="colorScale" priority="1">
      <colorScale>
        <cfvo type="num" val="1"/>
        <cfvo type="num" val="3"/>
        <cfvo type="num" val="6"/>
        <color rgb="FF00B050"/>
        <color rgb="FFFFFF00"/>
        <color rgb="FFFF0000"/>
      </colorScale>
    </cfRule>
  </conditionalFormatting>
  <conditionalFormatting sqref="U1:U12">
    <cfRule type="colorScale" priority="2">
      <colorScale>
        <cfvo type="num" val="0"/>
        <cfvo type="num" val="50"/>
        <cfvo type="num" val="100"/>
        <color rgb="FFFF0000"/>
        <color rgb="FFFFFF00"/>
        <color rgb="FF00B050"/>
      </colorScale>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1CE7A-FB59-4DB5-897A-18E26B8E2980}">
  <dimension ref="A1:U14"/>
  <sheetViews>
    <sheetView tabSelected="1" topLeftCell="I8" zoomScale="55" zoomScaleNormal="55" workbookViewId="0">
      <selection activeCell="T11" sqref="T11"/>
    </sheetView>
  </sheetViews>
  <sheetFormatPr defaultRowHeight="15" x14ac:dyDescent="0.25"/>
  <cols>
    <col min="1" max="19" width="34.28515625" customWidth="1"/>
    <col min="20" max="20" width="91.42578125" customWidth="1"/>
    <col min="21" max="21" width="34.28515625" customWidth="1"/>
  </cols>
  <sheetData>
    <row r="1" spans="1:21" ht="90" customHeight="1" thickBot="1" x14ac:dyDescent="0.3">
      <c r="A1" s="1" t="s">
        <v>0</v>
      </c>
      <c r="B1" s="2" t="s">
        <v>1</v>
      </c>
      <c r="C1" s="2"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2" t="s">
        <v>19</v>
      </c>
      <c r="U1" s="4" t="s">
        <v>20</v>
      </c>
    </row>
    <row r="2" spans="1:21" ht="180" customHeight="1" thickBot="1" x14ac:dyDescent="0.3">
      <c r="A2" s="30" t="s">
        <v>46</v>
      </c>
      <c r="B2" s="31" t="s">
        <v>35</v>
      </c>
      <c r="C2" s="32" t="s">
        <v>35</v>
      </c>
      <c r="D2" s="33">
        <v>4</v>
      </c>
      <c r="E2" s="33">
        <v>2</v>
      </c>
      <c r="F2" s="33">
        <v>5</v>
      </c>
      <c r="G2" s="33">
        <v>2</v>
      </c>
      <c r="H2" s="33">
        <v>3</v>
      </c>
      <c r="I2" s="33">
        <v>2</v>
      </c>
      <c r="J2" s="33">
        <v>5</v>
      </c>
      <c r="K2" s="33">
        <v>1</v>
      </c>
      <c r="L2" s="33">
        <v>4</v>
      </c>
      <c r="M2" s="33">
        <v>2</v>
      </c>
      <c r="N2" s="33">
        <v>4</v>
      </c>
      <c r="O2" s="33">
        <v>1</v>
      </c>
      <c r="P2" s="33">
        <v>1</v>
      </c>
      <c r="Q2" s="33">
        <v>1</v>
      </c>
      <c r="R2" s="33">
        <v>4</v>
      </c>
      <c r="S2" s="33">
        <v>2</v>
      </c>
      <c r="T2" s="47"/>
      <c r="U2" s="7">
        <f t="shared" ref="U2:U5" si="0">2.5*(20+SUM(D2,F2,H2,J2,L2)-SUM(E2,G2,I2,K2,M2))</f>
        <v>80</v>
      </c>
    </row>
    <row r="3" spans="1:21" ht="180" customHeight="1" thickBot="1" x14ac:dyDescent="0.3">
      <c r="A3" s="34" t="s">
        <v>57</v>
      </c>
      <c r="B3" s="9" t="s">
        <v>26</v>
      </c>
      <c r="C3" s="8" t="s">
        <v>58</v>
      </c>
      <c r="D3" s="22">
        <v>2</v>
      </c>
      <c r="E3" s="22">
        <v>3</v>
      </c>
      <c r="F3" s="22">
        <v>2</v>
      </c>
      <c r="G3" s="22">
        <v>5</v>
      </c>
      <c r="H3" s="22">
        <v>3</v>
      </c>
      <c r="I3" s="22">
        <v>4</v>
      </c>
      <c r="J3" s="22">
        <v>2</v>
      </c>
      <c r="K3" s="22">
        <v>4</v>
      </c>
      <c r="L3" s="22">
        <v>1</v>
      </c>
      <c r="M3" s="22">
        <v>2</v>
      </c>
      <c r="N3" s="22">
        <v>3</v>
      </c>
      <c r="O3" s="22">
        <v>4</v>
      </c>
      <c r="P3" s="22">
        <v>2</v>
      </c>
      <c r="Q3" s="22">
        <v>5</v>
      </c>
      <c r="R3" s="22">
        <v>3</v>
      </c>
      <c r="S3" s="22">
        <v>1</v>
      </c>
      <c r="T3" s="48" t="s">
        <v>59</v>
      </c>
      <c r="U3" s="7">
        <f t="shared" si="0"/>
        <v>30</v>
      </c>
    </row>
    <row r="4" spans="1:21" ht="180" customHeight="1" thickBot="1" x14ac:dyDescent="0.3">
      <c r="A4" s="36" t="s">
        <v>60</v>
      </c>
      <c r="B4" s="6" t="s">
        <v>26</v>
      </c>
      <c r="C4" s="5" t="s">
        <v>61</v>
      </c>
      <c r="D4" s="33">
        <v>3</v>
      </c>
      <c r="E4" s="33">
        <v>3</v>
      </c>
      <c r="F4" s="33">
        <v>2</v>
      </c>
      <c r="G4" s="33">
        <v>5</v>
      </c>
      <c r="H4" s="33">
        <v>3</v>
      </c>
      <c r="I4" s="33">
        <v>5</v>
      </c>
      <c r="J4" s="33">
        <v>3</v>
      </c>
      <c r="K4" s="33">
        <v>5</v>
      </c>
      <c r="L4" s="33">
        <v>3</v>
      </c>
      <c r="M4" s="33">
        <v>3</v>
      </c>
      <c r="N4" s="33">
        <v>2</v>
      </c>
      <c r="O4" s="33">
        <v>3</v>
      </c>
      <c r="P4" s="33">
        <v>1</v>
      </c>
      <c r="Q4" s="33">
        <v>4</v>
      </c>
      <c r="R4" s="33">
        <v>3</v>
      </c>
      <c r="S4" s="33">
        <v>3</v>
      </c>
      <c r="T4" s="49" t="s">
        <v>62</v>
      </c>
      <c r="U4" s="7">
        <f t="shared" si="0"/>
        <v>32.5</v>
      </c>
    </row>
    <row r="5" spans="1:21" ht="180" customHeight="1" thickBot="1" x14ac:dyDescent="0.3">
      <c r="A5" s="34" t="s">
        <v>51</v>
      </c>
      <c r="B5" s="9" t="s">
        <v>30</v>
      </c>
      <c r="C5" s="8" t="s">
        <v>52</v>
      </c>
      <c r="D5" s="22">
        <v>3</v>
      </c>
      <c r="E5" s="22">
        <v>1</v>
      </c>
      <c r="F5" s="22">
        <v>4</v>
      </c>
      <c r="G5" s="22">
        <v>4</v>
      </c>
      <c r="H5" s="22">
        <v>5</v>
      </c>
      <c r="I5" s="22">
        <v>1</v>
      </c>
      <c r="J5" s="22">
        <v>4</v>
      </c>
      <c r="K5" s="22">
        <v>1</v>
      </c>
      <c r="L5" s="22">
        <v>3</v>
      </c>
      <c r="M5" s="22">
        <v>2</v>
      </c>
      <c r="N5" s="22">
        <v>3</v>
      </c>
      <c r="O5" s="22">
        <v>1</v>
      </c>
      <c r="P5" s="22">
        <v>3</v>
      </c>
      <c r="Q5" s="22">
        <v>1</v>
      </c>
      <c r="R5" s="22">
        <v>1</v>
      </c>
      <c r="S5" s="22">
        <v>1</v>
      </c>
      <c r="T5" s="48"/>
      <c r="U5" s="7">
        <f t="shared" si="0"/>
        <v>75</v>
      </c>
    </row>
    <row r="6" spans="1:21" ht="180" customHeight="1" thickBot="1" x14ac:dyDescent="0.3">
      <c r="A6" s="36" t="s">
        <v>41</v>
      </c>
      <c r="B6" s="6" t="s">
        <v>22</v>
      </c>
      <c r="C6" s="5" t="s">
        <v>63</v>
      </c>
      <c r="D6" s="33">
        <v>5</v>
      </c>
      <c r="E6" s="33">
        <v>1</v>
      </c>
      <c r="F6" s="33">
        <v>5</v>
      </c>
      <c r="G6" s="33">
        <v>3</v>
      </c>
      <c r="H6" s="33">
        <v>5</v>
      </c>
      <c r="I6" s="33">
        <v>2</v>
      </c>
      <c r="J6" s="33">
        <v>5</v>
      </c>
      <c r="K6" s="33">
        <v>1</v>
      </c>
      <c r="L6" s="33">
        <v>5</v>
      </c>
      <c r="M6" s="33">
        <v>1</v>
      </c>
      <c r="N6" s="33">
        <v>5</v>
      </c>
      <c r="O6" s="33">
        <v>1</v>
      </c>
      <c r="P6" s="33">
        <v>3</v>
      </c>
      <c r="Q6" s="33">
        <v>1</v>
      </c>
      <c r="R6" s="33">
        <v>5</v>
      </c>
      <c r="S6" s="33">
        <v>1</v>
      </c>
      <c r="T6" s="49"/>
      <c r="U6" s="37">
        <f>2.5*(20+SUM(D6,F6,H6,J6,L6)-SUM(E6,G6,I6,K6,M6))</f>
        <v>92.5</v>
      </c>
    </row>
    <row r="7" spans="1:21" ht="180" customHeight="1" thickBot="1" x14ac:dyDescent="0.3">
      <c r="A7" s="21" t="s">
        <v>44</v>
      </c>
      <c r="B7" s="21" t="s">
        <v>26</v>
      </c>
      <c r="C7" s="21" t="s">
        <v>64</v>
      </c>
      <c r="D7" s="33">
        <v>4</v>
      </c>
      <c r="E7" s="33">
        <v>2</v>
      </c>
      <c r="F7" s="33">
        <v>3</v>
      </c>
      <c r="G7" s="33">
        <v>4</v>
      </c>
      <c r="H7" s="33">
        <v>4</v>
      </c>
      <c r="I7" s="33">
        <v>1</v>
      </c>
      <c r="J7" s="33">
        <v>3</v>
      </c>
      <c r="K7" s="33">
        <v>2</v>
      </c>
      <c r="L7" s="33">
        <v>3</v>
      </c>
      <c r="M7" s="33">
        <v>2</v>
      </c>
      <c r="N7" s="33">
        <v>3</v>
      </c>
      <c r="O7" s="33">
        <v>2</v>
      </c>
      <c r="P7" s="33">
        <v>3</v>
      </c>
      <c r="Q7" s="33">
        <v>1</v>
      </c>
      <c r="R7" s="33">
        <v>2</v>
      </c>
      <c r="S7" s="33">
        <v>3</v>
      </c>
      <c r="T7" s="49"/>
      <c r="U7" s="50">
        <f t="shared" ref="U7:U12" si="1">2.5*(20+SUM(D7,F7,H7,J7,L7)-SUM(E7,G7,I7,K7,M7))</f>
        <v>65</v>
      </c>
    </row>
    <row r="8" spans="1:21" ht="180" customHeight="1" thickBot="1" x14ac:dyDescent="0.3">
      <c r="A8" s="21" t="s">
        <v>65</v>
      </c>
      <c r="B8" s="21" t="s">
        <v>26</v>
      </c>
      <c r="C8" s="21" t="s">
        <v>66</v>
      </c>
      <c r="D8" s="33">
        <v>5</v>
      </c>
      <c r="E8" s="33">
        <v>1</v>
      </c>
      <c r="F8" s="33">
        <v>4</v>
      </c>
      <c r="G8" s="33">
        <v>1</v>
      </c>
      <c r="H8" s="33">
        <v>4</v>
      </c>
      <c r="I8" s="33">
        <v>4</v>
      </c>
      <c r="J8" s="33">
        <v>4</v>
      </c>
      <c r="K8" s="33">
        <v>2</v>
      </c>
      <c r="L8" s="33">
        <v>4</v>
      </c>
      <c r="M8" s="33">
        <v>2</v>
      </c>
      <c r="N8" s="33">
        <v>5</v>
      </c>
      <c r="O8" s="33">
        <v>1</v>
      </c>
      <c r="P8" s="33">
        <v>4</v>
      </c>
      <c r="Q8" s="33">
        <v>1</v>
      </c>
      <c r="R8" s="33">
        <v>2</v>
      </c>
      <c r="S8" s="33">
        <v>2</v>
      </c>
      <c r="T8" s="48" t="s">
        <v>67</v>
      </c>
      <c r="U8" s="7">
        <f t="shared" si="1"/>
        <v>77.5</v>
      </c>
    </row>
    <row r="9" spans="1:21" ht="180" customHeight="1" thickBot="1" x14ac:dyDescent="0.3">
      <c r="A9" s="21" t="s">
        <v>21</v>
      </c>
      <c r="B9" s="21" t="s">
        <v>22</v>
      </c>
      <c r="C9" s="21" t="s">
        <v>23</v>
      </c>
      <c r="D9" s="33">
        <v>5</v>
      </c>
      <c r="E9" s="33">
        <v>2</v>
      </c>
      <c r="F9" s="33">
        <v>4</v>
      </c>
      <c r="G9" s="33">
        <v>2</v>
      </c>
      <c r="H9" s="33">
        <v>4</v>
      </c>
      <c r="I9" s="33">
        <v>1</v>
      </c>
      <c r="J9" s="33">
        <v>4</v>
      </c>
      <c r="K9" s="33">
        <v>1</v>
      </c>
      <c r="L9" s="33">
        <v>4</v>
      </c>
      <c r="M9" s="33">
        <v>1</v>
      </c>
      <c r="N9" s="33">
        <v>4</v>
      </c>
      <c r="O9" s="33">
        <v>2</v>
      </c>
      <c r="P9" s="33">
        <v>4</v>
      </c>
      <c r="Q9" s="33">
        <v>1</v>
      </c>
      <c r="R9" s="33">
        <v>4</v>
      </c>
      <c r="S9" s="33">
        <v>2</v>
      </c>
      <c r="T9" s="49"/>
      <c r="U9" s="7">
        <f t="shared" si="1"/>
        <v>85</v>
      </c>
    </row>
    <row r="10" spans="1:21" ht="180" customHeight="1" thickBot="1" x14ac:dyDescent="0.3">
      <c r="A10" s="21" t="s">
        <v>49</v>
      </c>
      <c r="B10" s="21" t="s">
        <v>26</v>
      </c>
      <c r="C10" s="21" t="s">
        <v>68</v>
      </c>
      <c r="D10" s="33">
        <v>3</v>
      </c>
      <c r="E10" s="33">
        <v>2</v>
      </c>
      <c r="F10" s="33">
        <v>4</v>
      </c>
      <c r="G10" s="33">
        <v>2</v>
      </c>
      <c r="H10" s="33">
        <v>3</v>
      </c>
      <c r="I10" s="33">
        <v>3</v>
      </c>
      <c r="J10" s="33">
        <v>4</v>
      </c>
      <c r="K10" s="33">
        <v>2</v>
      </c>
      <c r="L10" s="33">
        <v>3</v>
      </c>
      <c r="M10" s="33">
        <v>1</v>
      </c>
      <c r="N10" s="33">
        <v>3</v>
      </c>
      <c r="O10" s="33">
        <v>4</v>
      </c>
      <c r="P10" s="33">
        <v>3</v>
      </c>
      <c r="Q10" s="33">
        <v>3</v>
      </c>
      <c r="R10" s="33">
        <v>2</v>
      </c>
      <c r="S10" s="33">
        <v>3</v>
      </c>
      <c r="T10" s="48"/>
      <c r="U10" s="7">
        <f t="shared" si="1"/>
        <v>67.5</v>
      </c>
    </row>
    <row r="11" spans="1:21" ht="180" customHeight="1" x14ac:dyDescent="0.25">
      <c r="A11" s="21" t="s">
        <v>25</v>
      </c>
      <c r="B11" s="21" t="s">
        <v>26</v>
      </c>
      <c r="C11" s="21" t="s">
        <v>27</v>
      </c>
      <c r="D11" s="33">
        <v>4</v>
      </c>
      <c r="E11" s="33">
        <v>2</v>
      </c>
      <c r="F11" s="33">
        <v>2</v>
      </c>
      <c r="G11" s="33">
        <v>5</v>
      </c>
      <c r="H11" s="33">
        <v>4</v>
      </c>
      <c r="I11" s="33">
        <v>4</v>
      </c>
      <c r="J11" s="33">
        <v>4</v>
      </c>
      <c r="K11" s="33">
        <v>4</v>
      </c>
      <c r="L11" s="33">
        <v>4</v>
      </c>
      <c r="M11" s="33">
        <v>4</v>
      </c>
      <c r="N11" s="33">
        <v>2</v>
      </c>
      <c r="O11" s="33">
        <v>4</v>
      </c>
      <c r="P11" s="33">
        <v>5</v>
      </c>
      <c r="Q11" s="33">
        <v>4</v>
      </c>
      <c r="R11" s="33">
        <v>2</v>
      </c>
      <c r="S11" s="33">
        <v>2</v>
      </c>
      <c r="T11" s="51" t="s">
        <v>108</v>
      </c>
      <c r="U11" s="50">
        <f t="shared" si="1"/>
        <v>47.5</v>
      </c>
    </row>
    <row r="12" spans="1:21" ht="180" customHeight="1" x14ac:dyDescent="0.25">
      <c r="A12" s="21" t="s">
        <v>34</v>
      </c>
      <c r="B12" s="21" t="s">
        <v>22</v>
      </c>
      <c r="C12" s="21" t="s">
        <v>69</v>
      </c>
      <c r="D12" s="33">
        <v>4</v>
      </c>
      <c r="E12" s="33">
        <v>1</v>
      </c>
      <c r="F12" s="33">
        <v>4</v>
      </c>
      <c r="G12" s="33">
        <v>3</v>
      </c>
      <c r="H12" s="33">
        <v>4</v>
      </c>
      <c r="I12" s="33">
        <v>1</v>
      </c>
      <c r="J12" s="33">
        <v>5</v>
      </c>
      <c r="K12" s="33">
        <v>1</v>
      </c>
      <c r="L12" s="33">
        <v>4</v>
      </c>
      <c r="M12" s="33">
        <v>1</v>
      </c>
      <c r="N12" s="33">
        <v>4</v>
      </c>
      <c r="O12" s="33">
        <v>2</v>
      </c>
      <c r="P12" s="33">
        <v>3</v>
      </c>
      <c r="Q12" s="33">
        <v>1</v>
      </c>
      <c r="R12" s="33">
        <v>2</v>
      </c>
      <c r="S12" s="33">
        <v>1</v>
      </c>
      <c r="T12" s="51"/>
      <c r="U12" s="7">
        <f t="shared" si="1"/>
        <v>85</v>
      </c>
    </row>
    <row r="14" spans="1:21" ht="90" customHeight="1" x14ac:dyDescent="0.25">
      <c r="D14" s="10">
        <f>AVERAGE(Table134[1. I think that I would like to use this system frequently])</f>
        <v>3.8181818181818183</v>
      </c>
      <c r="E14" s="10">
        <f>AVERAGE(Table134[2. I found the system unnecessarily complex])</f>
        <v>1.8181818181818181</v>
      </c>
      <c r="F14" s="10">
        <f>AVERAGE(Table134[3. I thought the system was easy to use])</f>
        <v>3.5454545454545454</v>
      </c>
      <c r="G14" s="10">
        <f>AVERAGE(Table134[4. I think that I would need the support of a technical person to be able to use this system])</f>
        <v>3.2727272727272729</v>
      </c>
      <c r="H14" s="10">
        <f>AVERAGE(Table134[5. I found the various functions in this system were well integrated])</f>
        <v>3.8181818181818183</v>
      </c>
      <c r="I14" s="10">
        <f>AVERAGE(Table134[6. I thought there was too much inconsistency in this system])</f>
        <v>2.5454545454545454</v>
      </c>
      <c r="J14" s="10">
        <f>AVERAGE(Table134[7. I would imagine that most people would learn to use this system very quickly])</f>
        <v>3.9090909090909092</v>
      </c>
      <c r="K14" s="10">
        <f>AVERAGE(Table134[8. I found the system very cumbersome to use])</f>
        <v>2.1818181818181817</v>
      </c>
      <c r="L14" s="10">
        <f>AVERAGE(Table134[9. I felt very confident using the system])</f>
        <v>3.4545454545454546</v>
      </c>
      <c r="M14" s="10">
        <f>AVERAGE(Table134[10. I needed to learn a lot of things before I could get going with this system])</f>
        <v>1.9090909090909092</v>
      </c>
      <c r="N14" s="10">
        <f>AVERAGE(Table134[11. I think this system positively impacted my team’s development workflow])</f>
        <v>3.4545454545454546</v>
      </c>
      <c r="O14" s="10">
        <f>AVERAGE(Table134[12. I noticed that the system affected my computer''s responsiveness])</f>
        <v>2.2727272727272729</v>
      </c>
      <c r="P14" s="10">
        <f>AVERAGE(Table134[13. I think this system positively impacted my personal development workflow])</f>
        <v>2.9090909090909092</v>
      </c>
      <c r="Q14" s="10">
        <f>AVERAGE(Table134[14. There were times when I found it necessary to disable the system (during work hours)])</f>
        <v>2.0909090909090908</v>
      </c>
      <c r="R14" s="10">
        <f>AVERAGE(Table134[15. I could easily tell whether the system was active (either ready to receive tasks or actively running a task)])</f>
        <v>2.7272727272727271</v>
      </c>
      <c r="S14" s="10">
        <f>AVERAGE(Table134[16. There were times where I expected the system to be running when it was not])</f>
        <v>1.9090909090909092</v>
      </c>
      <c r="T14" s="11"/>
      <c r="U14" s="10">
        <f>AVERAGE(Table134[SUS Score])</f>
        <v>67.045454545454547</v>
      </c>
    </row>
  </sheetData>
  <conditionalFormatting sqref="D1:D14 F1:F14 H1:H14 J1:J14 L1:L14 N1:N14 P1:P14 R1:R14">
    <cfRule type="colorScale" priority="3">
      <colorScale>
        <cfvo type="num" val="0"/>
        <cfvo type="num" val="3"/>
        <cfvo type="num" val="5"/>
        <color rgb="FFFF0000"/>
        <color rgb="FFFFFF00"/>
        <color rgb="FF00B050"/>
      </colorScale>
    </cfRule>
  </conditionalFormatting>
  <conditionalFormatting sqref="E1:E14 G1:G14 I1:I14 K1:K14 M1:M14 O1:O14 Q1:Q14 S1:S14">
    <cfRule type="colorScale" priority="1">
      <colorScale>
        <cfvo type="num" val="1"/>
        <cfvo type="num" val="3"/>
        <cfvo type="num" val="6"/>
        <color rgb="FF00B050"/>
        <color rgb="FFFFFF00"/>
        <color rgb="FFFF0000"/>
      </colorScale>
    </cfRule>
  </conditionalFormatting>
  <conditionalFormatting sqref="U1:U14">
    <cfRule type="colorScale" priority="2">
      <colorScale>
        <cfvo type="num" val="0"/>
        <cfvo type="num" val="50"/>
        <cfvo type="num" val="100"/>
        <color rgb="FFFF0000"/>
        <color rgb="FFFFFF00"/>
        <color rgb="FF00B050"/>
      </colorScale>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4"/>
  <sheetViews>
    <sheetView zoomScaleNormal="100" workbookViewId="0">
      <selection activeCell="AA11" sqref="AA11"/>
    </sheetView>
  </sheetViews>
  <sheetFormatPr defaultRowHeight="15" x14ac:dyDescent="0.25"/>
  <cols>
    <col min="1" max="1" width="20" customWidth="1"/>
    <col min="2" max="18" width="11.42578125" customWidth="1"/>
  </cols>
  <sheetData>
    <row r="1" spans="1:18" ht="30" customHeight="1" x14ac:dyDescent="0.25">
      <c r="A1" s="55"/>
      <c r="B1" s="55" t="s">
        <v>70</v>
      </c>
      <c r="C1" s="55" t="s">
        <v>71</v>
      </c>
      <c r="D1" s="55" t="s">
        <v>72</v>
      </c>
      <c r="E1" s="55" t="s">
        <v>73</v>
      </c>
      <c r="F1" s="55" t="s">
        <v>74</v>
      </c>
      <c r="G1" s="55" t="s">
        <v>75</v>
      </c>
      <c r="H1" s="55" t="s">
        <v>76</v>
      </c>
      <c r="I1" s="55" t="s">
        <v>77</v>
      </c>
      <c r="J1" s="55" t="s">
        <v>78</v>
      </c>
      <c r="K1" s="55" t="s">
        <v>79</v>
      </c>
      <c r="L1" s="55" t="s">
        <v>80</v>
      </c>
      <c r="M1" s="55" t="s">
        <v>81</v>
      </c>
      <c r="N1" s="55" t="s">
        <v>82</v>
      </c>
      <c r="O1" s="55" t="s">
        <v>83</v>
      </c>
      <c r="P1" s="55" t="s">
        <v>84</v>
      </c>
      <c r="Q1" s="55" t="s">
        <v>85</v>
      </c>
      <c r="R1" s="55" t="s">
        <v>86</v>
      </c>
    </row>
    <row r="2" spans="1:18" ht="30" customHeight="1" x14ac:dyDescent="0.25">
      <c r="A2" s="57" t="s">
        <v>91</v>
      </c>
      <c r="B2" s="52">
        <f>'Iteration 1'!D9</f>
        <v>3.5</v>
      </c>
      <c r="C2" s="52">
        <f>'Iteration 1'!E9</f>
        <v>1.6666666666666667</v>
      </c>
      <c r="D2" s="52">
        <f>'Iteration 1'!F9</f>
        <v>3.8333333333333335</v>
      </c>
      <c r="E2" s="52">
        <f>'Iteration 1'!G9</f>
        <v>2.6666666666666665</v>
      </c>
      <c r="F2" s="52">
        <f>'Iteration 1'!H9</f>
        <v>3.8333333333333335</v>
      </c>
      <c r="G2" s="52">
        <f>'Iteration 1'!I9</f>
        <v>2.3333333333333335</v>
      </c>
      <c r="H2" s="52">
        <f>'Iteration 1'!J9</f>
        <v>3.8333333333333335</v>
      </c>
      <c r="I2" s="52">
        <f>'Iteration 1'!K9</f>
        <v>2.6666666666666665</v>
      </c>
      <c r="J2" s="52">
        <f>'Iteration 1'!L9</f>
        <v>3.1666666666666665</v>
      </c>
      <c r="K2" s="52">
        <f>'Iteration 1'!M9</f>
        <v>1.6666666666666667</v>
      </c>
      <c r="L2" s="52">
        <f>'Iteration 1'!N9</f>
        <v>2.8333333333333335</v>
      </c>
      <c r="M2" s="52">
        <f>'Iteration 1'!O9</f>
        <v>3.5</v>
      </c>
      <c r="N2" s="52">
        <f>'Iteration 1'!P9</f>
        <v>2.6666666666666665</v>
      </c>
      <c r="O2" s="52">
        <f>'Iteration 1'!Q9</f>
        <v>2</v>
      </c>
      <c r="P2" s="52">
        <f>'Iteration 1'!R9</f>
        <v>1.8333333333333333</v>
      </c>
      <c r="Q2" s="52">
        <f>'Iteration 1'!S9</f>
        <v>2</v>
      </c>
      <c r="R2" s="52">
        <f>'Iteration 1'!U9</f>
        <v>67.916666666666671</v>
      </c>
    </row>
    <row r="3" spans="1:18" ht="30" customHeight="1" x14ac:dyDescent="0.25">
      <c r="A3" s="57" t="s">
        <v>90</v>
      </c>
      <c r="B3" s="52">
        <f>'Iteration 2'!D12</f>
        <v>3.6666666666666665</v>
      </c>
      <c r="C3" s="52">
        <f>'Iteration 2'!E12</f>
        <v>1.7777777777777777</v>
      </c>
      <c r="D3" s="52">
        <f>'Iteration 2'!F12</f>
        <v>3.6666666666666665</v>
      </c>
      <c r="E3" s="52">
        <f>'Iteration 2'!G12</f>
        <v>2.8888888888888888</v>
      </c>
      <c r="F3" s="52">
        <f>'Iteration 2'!H12</f>
        <v>3.4444444444444446</v>
      </c>
      <c r="G3" s="52">
        <f>'Iteration 2'!I12</f>
        <v>2.3333333333333335</v>
      </c>
      <c r="H3" s="52">
        <f>'Iteration 2'!J12</f>
        <v>3.8888888888888888</v>
      </c>
      <c r="I3" s="52">
        <f>'Iteration 2'!K12</f>
        <v>2.4444444444444446</v>
      </c>
      <c r="J3" s="52">
        <f>'Iteration 2'!L12</f>
        <v>3</v>
      </c>
      <c r="K3" s="52">
        <f>'Iteration 2'!M12</f>
        <v>2</v>
      </c>
      <c r="L3" s="52">
        <f>'Iteration 2'!N12</f>
        <v>3.2222222222222223</v>
      </c>
      <c r="M3" s="52">
        <f>'Iteration 2'!O12</f>
        <v>2.3333333333333335</v>
      </c>
      <c r="N3" s="52">
        <f>'Iteration 2'!P12</f>
        <v>2.8888888888888888</v>
      </c>
      <c r="O3" s="52">
        <f>'Iteration 2'!Q12</f>
        <v>1.5555555555555556</v>
      </c>
      <c r="P3" s="52">
        <f>'Iteration 2'!R12</f>
        <v>2.3333333333333335</v>
      </c>
      <c r="Q3" s="52">
        <f>'Iteration 2'!S12</f>
        <v>2.2222222222222223</v>
      </c>
      <c r="R3" s="52">
        <f>'Iteration 2'!U12</f>
        <v>65.555555555555557</v>
      </c>
    </row>
    <row r="4" spans="1:18" ht="30" customHeight="1" x14ac:dyDescent="0.25">
      <c r="A4" s="57" t="s">
        <v>92</v>
      </c>
      <c r="B4" s="52">
        <f>'Iteration 3'!D14</f>
        <v>3.8181818181818183</v>
      </c>
      <c r="C4" s="52">
        <f>'Iteration 3'!E14</f>
        <v>1.8181818181818181</v>
      </c>
      <c r="D4" s="52">
        <f>'Iteration 3'!F14</f>
        <v>3.5454545454545454</v>
      </c>
      <c r="E4" s="52">
        <f>'Iteration 3'!G14</f>
        <v>3.2727272727272729</v>
      </c>
      <c r="F4" s="52">
        <f>'Iteration 3'!H14</f>
        <v>3.8181818181818183</v>
      </c>
      <c r="G4" s="52">
        <f>'Iteration 3'!I14</f>
        <v>2.5454545454545454</v>
      </c>
      <c r="H4" s="52">
        <f>'Iteration 3'!J14</f>
        <v>3.9090909090909092</v>
      </c>
      <c r="I4" s="52">
        <f>'Iteration 3'!K14</f>
        <v>2.1818181818181817</v>
      </c>
      <c r="J4" s="52">
        <f>'Iteration 3'!L14</f>
        <v>3.4545454545454546</v>
      </c>
      <c r="K4" s="52">
        <f>'Iteration 3'!M14</f>
        <v>1.9090909090909092</v>
      </c>
      <c r="L4" s="52">
        <f>'Iteration 3'!N14</f>
        <v>3.4545454545454546</v>
      </c>
      <c r="M4" s="52">
        <f>'Iteration 3'!O14</f>
        <v>2.2727272727272729</v>
      </c>
      <c r="N4" s="52">
        <f>'Iteration 3'!P14</f>
        <v>2.9090909090909092</v>
      </c>
      <c r="O4" s="52">
        <f>'Iteration 3'!Q14</f>
        <v>2.0909090909090908</v>
      </c>
      <c r="P4" s="52">
        <f>'Iteration 3'!R14</f>
        <v>2.7272727272727271</v>
      </c>
      <c r="Q4" s="52">
        <f>'Iteration 3'!S14</f>
        <v>1.9090909090909092</v>
      </c>
      <c r="R4" s="52">
        <f>'Iteration 3'!U14</f>
        <v>67.045454545454547</v>
      </c>
    </row>
    <row r="5" spans="1:18" ht="24" customHeight="1" x14ac:dyDescent="0.25"/>
    <row r="6" spans="1:18" ht="24" customHeight="1" x14ac:dyDescent="0.25"/>
    <row r="7" spans="1:18" ht="24" customHeight="1" x14ac:dyDescent="0.25"/>
    <row r="8" spans="1:18" ht="24" customHeight="1" x14ac:dyDescent="0.25"/>
    <row r="9" spans="1:18" ht="24" customHeight="1" x14ac:dyDescent="0.25"/>
    <row r="10" spans="1:18" x14ac:dyDescent="0.25">
      <c r="A10" s="55"/>
      <c r="B10" s="55" t="s">
        <v>87</v>
      </c>
      <c r="C10" s="55" t="s">
        <v>88</v>
      </c>
      <c r="D10" s="55" t="s">
        <v>89</v>
      </c>
    </row>
    <row r="11" spans="1:18" ht="18.75" x14ac:dyDescent="0.25">
      <c r="A11" s="55" t="s">
        <v>93</v>
      </c>
      <c r="B11" s="56"/>
      <c r="C11" s="53">
        <v>52.5</v>
      </c>
      <c r="D11" s="53">
        <v>80</v>
      </c>
    </row>
    <row r="12" spans="1:18" ht="18.75" x14ac:dyDescent="0.25">
      <c r="A12" s="55" t="s">
        <v>94</v>
      </c>
      <c r="B12" s="56"/>
      <c r="C12" s="53">
        <v>70</v>
      </c>
      <c r="D12" s="53">
        <v>65</v>
      </c>
    </row>
    <row r="13" spans="1:18" ht="18.75" x14ac:dyDescent="0.25">
      <c r="A13" s="55" t="s">
        <v>106</v>
      </c>
      <c r="B13" s="56"/>
      <c r="C13" s="54">
        <v>62.5</v>
      </c>
      <c r="D13" s="54">
        <v>75</v>
      </c>
    </row>
    <row r="14" spans="1:18" ht="18.75" x14ac:dyDescent="0.25">
      <c r="A14" s="55" t="s">
        <v>95</v>
      </c>
      <c r="B14" s="56"/>
      <c r="C14" s="53">
        <v>75</v>
      </c>
      <c r="D14" s="53">
        <v>67.5</v>
      </c>
    </row>
    <row r="15" spans="1:18" ht="18.75" x14ac:dyDescent="0.25">
      <c r="A15" s="55" t="s">
        <v>96</v>
      </c>
      <c r="B15" s="56"/>
      <c r="C15" s="53">
        <v>77.5</v>
      </c>
      <c r="D15" s="53">
        <v>92.5</v>
      </c>
    </row>
    <row r="16" spans="1:18" ht="18.75" x14ac:dyDescent="0.25">
      <c r="A16" s="55" t="s">
        <v>103</v>
      </c>
      <c r="B16" s="56"/>
      <c r="C16" s="56"/>
      <c r="D16" s="54">
        <v>32.5</v>
      </c>
    </row>
    <row r="17" spans="1:4" ht="18.75" x14ac:dyDescent="0.25">
      <c r="A17" s="55" t="s">
        <v>104</v>
      </c>
      <c r="B17" s="56"/>
      <c r="C17" s="56"/>
      <c r="D17" s="54">
        <v>30</v>
      </c>
    </row>
    <row r="18" spans="1:4" ht="18.75" x14ac:dyDescent="0.25">
      <c r="A18" s="55" t="s">
        <v>105</v>
      </c>
      <c r="B18" s="56"/>
      <c r="C18" s="56"/>
      <c r="D18" s="54">
        <v>77.5</v>
      </c>
    </row>
    <row r="19" spans="1:4" ht="18.75" x14ac:dyDescent="0.25">
      <c r="A19" s="55" t="s">
        <v>97</v>
      </c>
      <c r="B19" s="53">
        <v>80</v>
      </c>
      <c r="C19" s="53">
        <v>72.5</v>
      </c>
      <c r="D19" s="53">
        <v>85</v>
      </c>
    </row>
    <row r="20" spans="1:4" ht="18.75" x14ac:dyDescent="0.25">
      <c r="A20" s="55" t="s">
        <v>98</v>
      </c>
      <c r="B20" s="53">
        <v>90</v>
      </c>
      <c r="C20" s="53">
        <v>75</v>
      </c>
      <c r="D20" s="53">
        <v>85</v>
      </c>
    </row>
    <row r="21" spans="1:4" ht="18.75" x14ac:dyDescent="0.25">
      <c r="A21" s="55" t="s">
        <v>99</v>
      </c>
      <c r="B21" s="53">
        <v>72.5</v>
      </c>
      <c r="C21" s="53">
        <v>55</v>
      </c>
      <c r="D21" s="53">
        <v>47.5</v>
      </c>
    </row>
    <row r="22" spans="1:4" ht="18.75" x14ac:dyDescent="0.25">
      <c r="A22" s="55" t="s">
        <v>100</v>
      </c>
      <c r="B22" s="53">
        <v>57.5</v>
      </c>
      <c r="C22" s="56"/>
      <c r="D22" s="56"/>
    </row>
    <row r="23" spans="1:4" ht="18.75" x14ac:dyDescent="0.25">
      <c r="A23" s="55" t="s">
        <v>101</v>
      </c>
      <c r="B23" s="53">
        <v>82.5</v>
      </c>
      <c r="C23" s="56"/>
      <c r="D23" s="56"/>
    </row>
    <row r="24" spans="1:4" ht="18.75" x14ac:dyDescent="0.25">
      <c r="A24" s="55" t="s">
        <v>102</v>
      </c>
      <c r="B24" s="53">
        <v>25</v>
      </c>
      <c r="C24" s="53">
        <v>50</v>
      </c>
      <c r="D24" s="56"/>
    </row>
  </sheetData>
  <conditionalFormatting sqref="B2:B4 D2:D4 F2:F4 H2:H4 J2:J4 L2:L4 N2:N4 P2:P4">
    <cfRule type="colorScale" priority="15">
      <colorScale>
        <cfvo type="num" val="0"/>
        <cfvo type="num" val="3"/>
        <cfvo type="num" val="5"/>
        <color rgb="FFFF0000"/>
        <color rgb="FFFFFF00"/>
        <color rgb="FF00B050"/>
      </colorScale>
    </cfRule>
  </conditionalFormatting>
  <conditionalFormatting sqref="B22">
    <cfRule type="colorScale" priority="5">
      <colorScale>
        <cfvo type="num" val="0"/>
        <cfvo type="num" val="50"/>
        <cfvo type="num" val="100"/>
        <color rgb="FFFF0000"/>
        <color rgb="FFFFFF00"/>
        <color rgb="FF00B050"/>
      </colorScale>
    </cfRule>
  </conditionalFormatting>
  <conditionalFormatting sqref="B23">
    <cfRule type="colorScale" priority="4">
      <colorScale>
        <cfvo type="num" val="0"/>
        <cfvo type="num" val="50"/>
        <cfvo type="num" val="100"/>
        <color rgb="FFFF0000"/>
        <color rgb="FFFFFF00"/>
        <color rgb="FF00B050"/>
      </colorScale>
    </cfRule>
  </conditionalFormatting>
  <conditionalFormatting sqref="B24:C24">
    <cfRule type="colorScale" priority="3">
      <colorScale>
        <cfvo type="num" val="0"/>
        <cfvo type="num" val="50"/>
        <cfvo type="num" val="100"/>
        <color rgb="FFFF0000"/>
        <color rgb="FFFFFF00"/>
        <color rgb="FF00B050"/>
      </colorScale>
    </cfRule>
  </conditionalFormatting>
  <conditionalFormatting sqref="B19:D19">
    <cfRule type="colorScale" priority="8">
      <colorScale>
        <cfvo type="num" val="0"/>
        <cfvo type="num" val="50"/>
        <cfvo type="num" val="100"/>
        <color rgb="FFFF0000"/>
        <color rgb="FFFFFF00"/>
        <color rgb="FF00B050"/>
      </colorScale>
    </cfRule>
  </conditionalFormatting>
  <conditionalFormatting sqref="B20:D20">
    <cfRule type="colorScale" priority="7">
      <colorScale>
        <cfvo type="num" val="0"/>
        <cfvo type="num" val="50"/>
        <cfvo type="num" val="100"/>
        <color rgb="FFFF0000"/>
        <color rgb="FFFFFF00"/>
        <color rgb="FF00B050"/>
      </colorScale>
    </cfRule>
  </conditionalFormatting>
  <conditionalFormatting sqref="B21:D21">
    <cfRule type="colorScale" priority="6">
      <colorScale>
        <cfvo type="num" val="0"/>
        <cfvo type="num" val="50"/>
        <cfvo type="num" val="100"/>
        <color rgb="FFFF0000"/>
        <color rgb="FFFFFF00"/>
        <color rgb="FF00B050"/>
      </colorScale>
    </cfRule>
  </conditionalFormatting>
  <conditionalFormatting sqref="C2:C4 E2:E4 G2:G4 I2:I4 K2:K4 M2:M4 O2:O4 Q2:Q4">
    <cfRule type="colorScale" priority="14">
      <colorScale>
        <cfvo type="num" val="1"/>
        <cfvo type="num" val="3"/>
        <cfvo type="num" val="6"/>
        <color rgb="FF00B050"/>
        <color rgb="FFFFFF00"/>
        <color rgb="FFFF0000"/>
      </colorScale>
    </cfRule>
  </conditionalFormatting>
  <conditionalFormatting sqref="C11:D11">
    <cfRule type="colorScale" priority="12">
      <colorScale>
        <cfvo type="num" val="0"/>
        <cfvo type="num" val="50"/>
        <cfvo type="num" val="100"/>
        <color rgb="FFFF0000"/>
        <color rgb="FFFFFF00"/>
        <color rgb="FF00B050"/>
      </colorScale>
    </cfRule>
  </conditionalFormatting>
  <conditionalFormatting sqref="C12:D12">
    <cfRule type="colorScale" priority="11">
      <colorScale>
        <cfvo type="num" val="0"/>
        <cfvo type="num" val="50"/>
        <cfvo type="num" val="100"/>
        <color rgb="FFFF0000"/>
        <color rgb="FFFFFF00"/>
        <color rgb="FF00B050"/>
      </colorScale>
    </cfRule>
  </conditionalFormatting>
  <conditionalFormatting sqref="C13:D13">
    <cfRule type="colorScale" priority="1">
      <colorScale>
        <cfvo type="num" val="0"/>
        <cfvo type="num" val="50"/>
        <cfvo type="num" val="100"/>
        <color rgb="FFFF0000"/>
        <color rgb="FFFFFF00"/>
        <color rgb="FF00B050"/>
      </colorScale>
    </cfRule>
  </conditionalFormatting>
  <conditionalFormatting sqref="C14:D14">
    <cfRule type="colorScale" priority="10">
      <colorScale>
        <cfvo type="num" val="0"/>
        <cfvo type="num" val="50"/>
        <cfvo type="num" val="100"/>
        <color rgb="FFFF0000"/>
        <color rgb="FFFFFF00"/>
        <color rgb="FF00B050"/>
      </colorScale>
    </cfRule>
  </conditionalFormatting>
  <conditionalFormatting sqref="C15:D15">
    <cfRule type="colorScale" priority="9">
      <colorScale>
        <cfvo type="num" val="0"/>
        <cfvo type="num" val="50"/>
        <cfvo type="num" val="100"/>
        <color rgb="FFFF0000"/>
        <color rgb="FFFFFF00"/>
        <color rgb="FF00B050"/>
      </colorScale>
    </cfRule>
  </conditionalFormatting>
  <conditionalFormatting sqref="D16:D18">
    <cfRule type="colorScale" priority="2">
      <colorScale>
        <cfvo type="num" val="0"/>
        <cfvo type="num" val="50"/>
        <cfvo type="num" val="100"/>
        <color rgb="FFFF0000"/>
        <color rgb="FFFFFF00"/>
        <color rgb="FF00B050"/>
      </colorScale>
    </cfRule>
  </conditionalFormatting>
  <conditionalFormatting sqref="R2:R4">
    <cfRule type="colorScale" priority="13">
      <colorScale>
        <cfvo type="num" val="0"/>
        <cfvo type="num" val="50"/>
        <cfvo type="num" val="100"/>
        <color rgb="FFFF0000"/>
        <color rgb="FFFFFF00"/>
        <color rgb="FF00B050"/>
      </colorScale>
    </cfRule>
  </conditionalFormatting>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09D7ACAE19AEA4188E74FC911064806" ma:contentTypeVersion="13" ma:contentTypeDescription="Create a new document." ma:contentTypeScope="" ma:versionID="e8a604d3f0bb0e89f6632cd1c645b4ed">
  <xsd:schema xmlns:xsd="http://www.w3.org/2001/XMLSchema" xmlns:xs="http://www.w3.org/2001/XMLSchema" xmlns:p="http://schemas.microsoft.com/office/2006/metadata/properties" xmlns:ns2="6656c2dc-2965-4315-a8fd-a4d95559af9c" xmlns:ns3="771465c8-566f-4c1b-b214-95c896f401f4" targetNamespace="http://schemas.microsoft.com/office/2006/metadata/properties" ma:root="true" ma:fieldsID="cb3c6b3dfa206ae2f3e4fe521c8aca1a" ns2:_="" ns3:_="">
    <xsd:import namespace="6656c2dc-2965-4315-a8fd-a4d95559af9c"/>
    <xsd:import namespace="771465c8-566f-4c1b-b214-95c896f401f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656c2dc-2965-4315-a8fd-a4d95559af9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365a90ea-d0e7-4aae-8ef9-9f5dd1eb65e3"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71465c8-566f-4c1b-b214-95c896f401f4"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a2e371ff-7bfc-413b-a2c2-9d804fe19094}" ma:internalName="TaxCatchAll" ma:showField="CatchAllData" ma:web="771465c8-566f-4c1b-b214-95c896f401f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771465c8-566f-4c1b-b214-95c896f401f4" xsi:nil="true"/>
    <lcf76f155ced4ddcb4097134ff3c332f xmlns="6656c2dc-2965-4315-a8fd-a4d95559af9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1C5476C-7FE0-4922-A104-7DB234A12CF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656c2dc-2965-4315-a8fd-a4d95559af9c"/>
    <ds:schemaRef ds:uri="771465c8-566f-4c1b-b214-95c896f401f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F801906-64FB-40BF-BD2D-0E993971D76A}">
  <ds:schemaRefs>
    <ds:schemaRef ds:uri="http://schemas.microsoft.com/sharepoint/v3/contenttype/forms"/>
  </ds:schemaRefs>
</ds:datastoreItem>
</file>

<file path=customXml/itemProps3.xml><?xml version="1.0" encoding="utf-8"?>
<ds:datastoreItem xmlns:ds="http://schemas.openxmlformats.org/officeDocument/2006/customXml" ds:itemID="{74A6CFC0-E484-4478-B633-2E3810420E4A}">
  <ds:schemaRefs>
    <ds:schemaRef ds:uri="771465c8-566f-4c1b-b214-95c896f401f4"/>
    <ds:schemaRef ds:uri="http://schemas.openxmlformats.org/package/2006/metadata/core-properties"/>
    <ds:schemaRef ds:uri="http://purl.org/dc/dcmitype/"/>
    <ds:schemaRef ds:uri="http://purl.org/dc/terms/"/>
    <ds:schemaRef ds:uri="http://schemas.microsoft.com/office/2006/documentManagement/types"/>
    <ds:schemaRef ds:uri="http://purl.org/dc/elements/1.1/"/>
    <ds:schemaRef ds:uri="http://www.w3.org/XML/1998/namespace"/>
    <ds:schemaRef ds:uri="6656c2dc-2965-4315-a8fd-a4d95559af9c"/>
    <ds:schemaRef ds:uri="http://schemas.microsoft.com/office/infopath/2007/PartnerControls"/>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Iteration 1</vt:lpstr>
      <vt:lpstr>Iteration 2</vt:lpstr>
      <vt:lpstr>Iteration 3</vt:lpstr>
      <vt:lpstr>Iteration Overview</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Derks, Hidde (200170)</cp:lastModifiedBy>
  <cp:revision/>
  <dcterms:created xsi:type="dcterms:W3CDTF">2026-05-26T08:39:53Z</dcterms:created>
  <dcterms:modified xsi:type="dcterms:W3CDTF">2026-06-08T12:53:37Z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0x010100309D7ACAE19AEA4188E74FC911064806</vt:lpwstr>
  </property>
  <property fmtid="{D5CDD505-2E9C-101B-9397-08002B2CF9AE}" pid="3" name="MediaServiceImageTags">
    <vt:lpwstr/>
  </property>
</Properties>
</file>