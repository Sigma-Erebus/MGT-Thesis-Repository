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MGT-2025-26\MGT-Thesis-Repository\MGT-Thesis-Repository\"/>
    </mc:Choice>
  </mc:AlternateContent>
  <xr:revisionPtr revIDLastSave="0" documentId="13_ncr:1_{8F0B250F-5303-4254-BA2A-059F9699D35A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Raw Data" sheetId="1" r:id="rId1"/>
    <sheet name="Parsed Data" sheetId="2" r:id="rId2"/>
    <sheet name="Core Count Scaling" sheetId="4" r:id="rId3"/>
    <sheet name="Agent Count Scaling" sheetId="5" r:id="rId4"/>
    <sheet name="Core Distribution Scaling" sheetId="3" r:id="rId5"/>
    <sheet name="RAM Scaling" sheetId="6" r:id="rId6"/>
    <sheet name="DropDowns" sheetId="7" r:id="rId7"/>
  </sheets>
  <definedNames>
    <definedName name="solver_adj" localSheetId="2" hidden="1">'Core Count Scaling'!$L$3:$N$3</definedName>
    <definedName name="solver_cvg" localSheetId="2" hidden="1">0.0001</definedName>
    <definedName name="solver_drv" localSheetId="2" hidden="1">2</definedName>
    <definedName name="solver_eng" localSheetId="2" hidden="1">3</definedName>
    <definedName name="solver_est" localSheetId="2" hidden="1">1</definedName>
    <definedName name="solver_itr" localSheetId="2" hidden="1">2147483647</definedName>
    <definedName name="solver_lhs1" localSheetId="2" hidden="1">'Core Count Scaling'!$N$3</definedName>
    <definedName name="solver_lhs2" localSheetId="2" hidden="1">'Core Count Scaling'!$L$3:$N$3</definedName>
    <definedName name="solver_lhs3" localSheetId="2" hidden="1">'Core Count Scaling'!$M$5:$M$12</definedName>
    <definedName name="solver_lhs4" localSheetId="2" hidden="1">'Core Count Scaling'!$M$5:$M$12</definedName>
    <definedName name="solver_lhs5" localSheetId="2" hidden="1">'Core Count Scaling'!$M$5:$M$12</definedName>
    <definedName name="solver_lhs6" localSheetId="2" hidden="1">'Core Count Scaling'!$M$5:$M$12</definedName>
    <definedName name="solver_mip" localSheetId="2" hidden="1">2147483647</definedName>
    <definedName name="solver_mni" localSheetId="2" hidden="1">120</definedName>
    <definedName name="solver_mrt" localSheetId="2" hidden="1">0.12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3</definedName>
    <definedName name="solver_nwt" localSheetId="2" hidden="1">1</definedName>
    <definedName name="solver_opt" localSheetId="2" hidden="1">'Core Count Scaling'!$N$13</definedName>
    <definedName name="solver_pre" localSheetId="2" hidden="1">0.01</definedName>
    <definedName name="solver_rbv" localSheetId="2" hidden="1">2</definedName>
    <definedName name="solver_rel1" localSheetId="2" hidden="1">1</definedName>
    <definedName name="solver_rel2" localSheetId="2" hidden="1">3</definedName>
    <definedName name="solver_rel3" localSheetId="2" hidden="1">3</definedName>
    <definedName name="solver_rel4" localSheetId="2" hidden="1">3</definedName>
    <definedName name="solver_rel5" localSheetId="2" hidden="1">3</definedName>
    <definedName name="solver_rel6" localSheetId="2" hidden="1">3</definedName>
    <definedName name="solver_rhs1" localSheetId="2" hidden="1">20</definedName>
    <definedName name="solver_rhs2" localSheetId="2" hidden="1">0.01</definedName>
    <definedName name="solver_rhs3" localSheetId="2" hidden="1">'Core Count Scaling'!$O$5:$O$12</definedName>
    <definedName name="solver_rhs4" localSheetId="2" hidden="1">'Core Count Scaling'!$O$5:$O$12</definedName>
    <definedName name="solver_rhs5" localSheetId="2" hidden="1">'Core Count Scaling'!$O$5:$O$12</definedName>
    <definedName name="solver_rhs6" localSheetId="2" hidden="1">'Core Count Scaling'!$O$5:$O$12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30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5" l="1" a="1"/>
  <c r="N3" i="5" s="1"/>
  <c r="M3" i="5" a="1"/>
  <c r="M3" i="5" s="1"/>
  <c r="L3" i="5" a="1"/>
  <c r="L3" i="5" s="1"/>
  <c r="V4" i="4" a="1"/>
  <c r="V4" i="4" s="1"/>
  <c r="V6" i="4" a="1"/>
  <c r="V6" i="4" s="1"/>
  <c r="V8" i="4" a="1"/>
  <c r="V8" i="4" s="1"/>
  <c r="V10" i="4" a="1"/>
  <c r="V10" i="4" s="1"/>
  <c r="V12" i="4" a="1"/>
  <c r="V12" i="4" s="1"/>
  <c r="V13" i="4" a="1"/>
  <c r="V13" i="4" s="1"/>
  <c r="V14" i="4" a="1"/>
  <c r="V14" i="4" s="1"/>
  <c r="V16" i="4" a="1"/>
  <c r="V16" i="4" s="1"/>
  <c r="V17" i="4" a="1"/>
  <c r="V17" i="4" s="1"/>
  <c r="V18" i="4" a="1"/>
  <c r="V18" i="4" s="1"/>
  <c r="V20" i="4" a="1"/>
  <c r="V20" i="4" s="1"/>
  <c r="V21" i="4" a="1"/>
  <c r="V21" i="4" s="1"/>
  <c r="V22" i="4" a="1"/>
  <c r="V22" i="4" s="1"/>
  <c r="V23" i="4" a="1"/>
  <c r="V23" i="4" s="1"/>
  <c r="V24" i="4" a="1"/>
  <c r="V24" i="4" s="1"/>
  <c r="V25" i="4" a="1"/>
  <c r="V25" i="4" s="1"/>
  <c r="V26" i="4" a="1"/>
  <c r="V26" i="4" s="1"/>
  <c r="V28" i="4" a="1"/>
  <c r="V28" i="4" s="1"/>
  <c r="V29" i="4" a="1"/>
  <c r="V29" i="4" s="1"/>
  <c r="V30" i="4" a="1"/>
  <c r="V30" i="4" s="1"/>
  <c r="V31" i="4" a="1"/>
  <c r="V31" i="4" s="1"/>
  <c r="V32" i="4" a="1"/>
  <c r="V32" i="4" s="1"/>
  <c r="V33" i="4" a="1"/>
  <c r="V33" i="4" s="1"/>
  <c r="V34" i="4" a="1"/>
  <c r="V34" i="4" s="1"/>
  <c r="V36" i="4" a="1"/>
  <c r="V36" i="4" s="1"/>
  <c r="V37" i="4" a="1"/>
  <c r="V37" i="4" s="1"/>
  <c r="V38" i="4" a="1"/>
  <c r="V38" i="4" s="1"/>
  <c r="V39" i="4" a="1"/>
  <c r="V39" i="4" s="1"/>
  <c r="V40" i="4" a="1"/>
  <c r="V40" i="4" s="1"/>
  <c r="V41" i="4" a="1"/>
  <c r="V41" i="4" s="1"/>
  <c r="V42" i="4" a="1"/>
  <c r="V42" i="4" s="1"/>
  <c r="V43" i="4" a="1"/>
  <c r="V43" i="4" s="1"/>
  <c r="V44" i="4" a="1"/>
  <c r="V44" i="4" s="1"/>
  <c r="V45" i="4" a="1"/>
  <c r="V45" i="4" s="1"/>
  <c r="V46" i="4" a="1"/>
  <c r="V46" i="4" s="1"/>
  <c r="V47" i="4" a="1"/>
  <c r="V47" i="4" s="1"/>
  <c r="V48" i="4" a="1"/>
  <c r="V48" i="4" s="1"/>
  <c r="V49" i="4" a="1"/>
  <c r="V49" i="4" s="1"/>
  <c r="V50" i="4" a="1"/>
  <c r="V50" i="4" s="1"/>
  <c r="V52" i="4" a="1"/>
  <c r="V52" i="4" s="1"/>
  <c r="V53" i="4" a="1"/>
  <c r="V53" i="4" s="1"/>
  <c r="V54" i="4" a="1"/>
  <c r="V54" i="4" s="1"/>
  <c r="V55" i="4" a="1"/>
  <c r="V55" i="4" s="1"/>
  <c r="V56" i="4" a="1"/>
  <c r="V56" i="4" s="1"/>
  <c r="V57" i="4" a="1"/>
  <c r="V57" i="4" s="1"/>
  <c r="V58" i="4" a="1"/>
  <c r="V58" i="4" s="1"/>
  <c r="V59" i="4" a="1"/>
  <c r="V59" i="4" s="1"/>
  <c r="V60" i="4" a="1"/>
  <c r="V60" i="4" s="1"/>
  <c r="V61" i="4" a="1"/>
  <c r="V61" i="4" s="1"/>
  <c r="V62" i="4" a="1"/>
  <c r="V62" i="4" s="1"/>
  <c r="V63" i="4" a="1"/>
  <c r="V63" i="4" s="1"/>
  <c r="V64" i="4" a="1"/>
  <c r="V64" i="4" s="1"/>
  <c r="V65" i="4" a="1"/>
  <c r="V65" i="4" s="1"/>
  <c r="V66" i="4" a="1"/>
  <c r="V66" i="4" s="1"/>
  <c r="V67" i="4" a="1"/>
  <c r="V67" i="4" s="1"/>
  <c r="U4" i="4" a="1"/>
  <c r="U4" i="4" s="1"/>
  <c r="U6" i="4" a="1"/>
  <c r="U6" i="4" s="1"/>
  <c r="U8" i="4" a="1"/>
  <c r="U8" i="4" s="1"/>
  <c r="U10" i="4" a="1"/>
  <c r="U10" i="4" s="1"/>
  <c r="U12" i="4" a="1"/>
  <c r="U12" i="4" s="1"/>
  <c r="U13" i="4" a="1"/>
  <c r="U13" i="4" s="1"/>
  <c r="U14" i="4" a="1"/>
  <c r="U14" i="4" s="1"/>
  <c r="U16" i="4" a="1"/>
  <c r="U16" i="4" s="1"/>
  <c r="U17" i="4" a="1"/>
  <c r="U17" i="4" s="1"/>
  <c r="U18" i="4" a="1"/>
  <c r="U18" i="4" s="1"/>
  <c r="U20" i="4" a="1"/>
  <c r="U20" i="4" s="1"/>
  <c r="U21" i="4" a="1"/>
  <c r="U21" i="4" s="1"/>
  <c r="U22" i="4" a="1"/>
  <c r="U22" i="4" s="1"/>
  <c r="U23" i="4" a="1"/>
  <c r="U23" i="4" s="1"/>
  <c r="U24" i="4" a="1"/>
  <c r="U24" i="4" s="1"/>
  <c r="U25" i="4" a="1"/>
  <c r="U25" i="4" s="1"/>
  <c r="U26" i="4" a="1"/>
  <c r="U26" i="4" s="1"/>
  <c r="U28" i="4" a="1"/>
  <c r="U28" i="4" s="1"/>
  <c r="U29" i="4" a="1"/>
  <c r="U29" i="4" s="1"/>
  <c r="U30" i="4" a="1"/>
  <c r="U30" i="4" s="1"/>
  <c r="U31" i="4" a="1"/>
  <c r="U31" i="4" s="1"/>
  <c r="U32" i="4" a="1"/>
  <c r="U32" i="4" s="1"/>
  <c r="U33" i="4" a="1"/>
  <c r="U33" i="4" s="1"/>
  <c r="U34" i="4" a="1"/>
  <c r="U34" i="4" s="1"/>
  <c r="U36" i="4" a="1"/>
  <c r="U36" i="4" s="1"/>
  <c r="U37" i="4" a="1"/>
  <c r="U37" i="4" s="1"/>
  <c r="U38" i="4" a="1"/>
  <c r="U38" i="4" s="1"/>
  <c r="U39" i="4" a="1"/>
  <c r="U39" i="4" s="1"/>
  <c r="U40" i="4" a="1"/>
  <c r="U40" i="4" s="1"/>
  <c r="U41" i="4" a="1"/>
  <c r="U41" i="4" s="1"/>
  <c r="U42" i="4" a="1"/>
  <c r="U42" i="4" s="1"/>
  <c r="U43" i="4" a="1"/>
  <c r="U43" i="4" s="1"/>
  <c r="U44" i="4" a="1"/>
  <c r="U44" i="4" s="1"/>
  <c r="U45" i="4" a="1"/>
  <c r="U45" i="4" s="1"/>
  <c r="U46" i="4" a="1"/>
  <c r="U46" i="4" s="1"/>
  <c r="U47" i="4" a="1"/>
  <c r="U47" i="4" s="1"/>
  <c r="U48" i="4" a="1"/>
  <c r="U48" i="4" s="1"/>
  <c r="U49" i="4" a="1"/>
  <c r="U49" i="4" s="1"/>
  <c r="U50" i="4" a="1"/>
  <c r="U50" i="4" s="1"/>
  <c r="U52" i="4" a="1"/>
  <c r="U52" i="4" s="1"/>
  <c r="U53" i="4" a="1"/>
  <c r="U53" i="4" s="1"/>
  <c r="U54" i="4" a="1"/>
  <c r="U54" i="4" s="1"/>
  <c r="U55" i="4" a="1"/>
  <c r="U55" i="4" s="1"/>
  <c r="U56" i="4" a="1"/>
  <c r="U56" i="4" s="1"/>
  <c r="U57" i="4" a="1"/>
  <c r="U57" i="4" s="1"/>
  <c r="U58" i="4" a="1"/>
  <c r="U58" i="4" s="1"/>
  <c r="U59" i="4" a="1"/>
  <c r="U59" i="4" s="1"/>
  <c r="U60" i="4" a="1"/>
  <c r="U60" i="4" s="1"/>
  <c r="U61" i="4" a="1"/>
  <c r="U61" i="4" s="1"/>
  <c r="U62" i="4" a="1"/>
  <c r="U62" i="4" s="1"/>
  <c r="U63" i="4" a="1"/>
  <c r="U63" i="4" s="1"/>
  <c r="U64" i="4" a="1"/>
  <c r="U64" i="4" s="1"/>
  <c r="U65" i="4" a="1"/>
  <c r="U65" i="4" s="1"/>
  <c r="U66" i="4" a="1"/>
  <c r="U66" i="4" s="1"/>
  <c r="U67" i="4" a="1"/>
  <c r="U67" i="4" s="1"/>
  <c r="D9" i="4"/>
  <c r="L10" i="4" s="1"/>
  <c r="T10" i="5" l="1"/>
  <c r="T24" i="5"/>
  <c r="T20" i="5"/>
  <c r="T19" i="5"/>
  <c r="T18" i="5"/>
  <c r="T17" i="5"/>
  <c r="T34" i="5"/>
  <c r="T32" i="5"/>
  <c r="T16" i="5"/>
  <c r="T25" i="5"/>
  <c r="T23" i="5"/>
  <c r="T21" i="5"/>
  <c r="T35" i="5"/>
  <c r="T33" i="5"/>
  <c r="T31" i="5"/>
  <c r="T15" i="5"/>
  <c r="T22" i="5"/>
  <c r="T30" i="5"/>
  <c r="T14" i="5"/>
  <c r="T29" i="5"/>
  <c r="T13" i="5"/>
  <c r="T28" i="5"/>
  <c r="T12" i="5"/>
  <c r="T27" i="5"/>
  <c r="T11" i="5"/>
  <c r="T26" i="5"/>
  <c r="T5" i="5"/>
  <c r="T6" i="5"/>
  <c r="T3" i="5"/>
  <c r="T7" i="5"/>
  <c r="T4" i="5"/>
  <c r="T8" i="5"/>
  <c r="T9" i="5"/>
  <c r="M5" i="5"/>
  <c r="M8" i="5"/>
  <c r="M6" i="5"/>
  <c r="M7" i="5"/>
  <c r="N12" i="5"/>
  <c r="E9" i="4"/>
  <c r="O10" i="4" s="1"/>
  <c r="F9" i="4"/>
  <c r="P10" i="4" s="1"/>
  <c r="N3" i="4" l="1" a="1"/>
  <c r="N3" i="4" s="1"/>
  <c r="M3" i="4" a="1"/>
  <c r="M3" i="4" s="1"/>
  <c r="L3" i="4" a="1"/>
  <c r="L3" i="4" s="1"/>
  <c r="N17" i="4" s="1"/>
  <c r="F9" i="6"/>
  <c r="F5" i="6"/>
  <c r="F6" i="6"/>
  <c r="F7" i="6"/>
  <c r="F8" i="6"/>
  <c r="F4" i="6"/>
  <c r="C5" i="6"/>
  <c r="E5" i="6" s="1"/>
  <c r="C6" i="6"/>
  <c r="D6" i="6" s="1"/>
  <c r="C7" i="6"/>
  <c r="E7" i="6" s="1"/>
  <c r="C8" i="6"/>
  <c r="D8" i="6" s="1"/>
  <c r="C9" i="6"/>
  <c r="D9" i="6" s="1"/>
  <c r="C4" i="6"/>
  <c r="D4" i="6" s="1"/>
  <c r="D4" i="3"/>
  <c r="E4" i="3" s="1"/>
  <c r="D6" i="3"/>
  <c r="F6" i="3" s="1"/>
  <c r="D7" i="3"/>
  <c r="F7" i="3" s="1"/>
  <c r="D5" i="3"/>
  <c r="F5" i="3" s="1"/>
  <c r="D5" i="5"/>
  <c r="D6" i="5"/>
  <c r="D7" i="5"/>
  <c r="D4" i="5"/>
  <c r="D11" i="4"/>
  <c r="D8" i="4"/>
  <c r="D10" i="4"/>
  <c r="D7" i="4"/>
  <c r="D4" i="4"/>
  <c r="D5" i="4"/>
  <c r="D6" i="4"/>
  <c r="L5" i="5" l="1"/>
  <c r="N13" i="5"/>
  <c r="F5" i="5"/>
  <c r="P6" i="5" s="1"/>
  <c r="L6" i="5"/>
  <c r="L7" i="5"/>
  <c r="L8" i="5"/>
  <c r="M10" i="4"/>
  <c r="Q10" i="4" s="1"/>
  <c r="F4" i="4"/>
  <c r="P5" i="4" s="1"/>
  <c r="G9" i="4"/>
  <c r="H9" i="4"/>
  <c r="I9" i="4"/>
  <c r="F10" i="4"/>
  <c r="F11" i="4"/>
  <c r="F8" i="4"/>
  <c r="F5" i="4"/>
  <c r="F6" i="4"/>
  <c r="H6" i="4" s="1"/>
  <c r="F7" i="4"/>
  <c r="H7" i="4" s="1"/>
  <c r="T23" i="4"/>
  <c r="T39" i="4"/>
  <c r="T55" i="4"/>
  <c r="T7" i="4"/>
  <c r="T24" i="4"/>
  <c r="T40" i="4"/>
  <c r="T56" i="4"/>
  <c r="T8" i="4"/>
  <c r="T25" i="4"/>
  <c r="T41" i="4"/>
  <c r="T57" i="4"/>
  <c r="T9" i="4"/>
  <c r="T26" i="4"/>
  <c r="T42" i="4"/>
  <c r="T58" i="4"/>
  <c r="T10" i="4"/>
  <c r="T27" i="4"/>
  <c r="T43" i="4"/>
  <c r="T59" i="4"/>
  <c r="T11" i="4"/>
  <c r="T28" i="4"/>
  <c r="T12" i="4"/>
  <c r="T29" i="4"/>
  <c r="T45" i="4"/>
  <c r="T61" i="4"/>
  <c r="T13" i="4"/>
  <c r="T30" i="4"/>
  <c r="T46" i="4"/>
  <c r="T62" i="4"/>
  <c r="T14" i="4"/>
  <c r="T15" i="4"/>
  <c r="X15" i="4" s="1"/>
  <c r="T64" i="4"/>
  <c r="T16" i="4"/>
  <c r="T49" i="4"/>
  <c r="T17" i="4"/>
  <c r="T66" i="4"/>
  <c r="T19" i="4"/>
  <c r="T67" i="4"/>
  <c r="T37" i="4"/>
  <c r="T5" i="4"/>
  <c r="T38" i="4"/>
  <c r="T54" i="4"/>
  <c r="T60" i="4"/>
  <c r="T31" i="4"/>
  <c r="T47" i="4"/>
  <c r="T63" i="4"/>
  <c r="T48" i="4"/>
  <c r="T33" i="4"/>
  <c r="T65" i="4"/>
  <c r="T34" i="4"/>
  <c r="T50" i="4"/>
  <c r="T18" i="4"/>
  <c r="T35" i="4"/>
  <c r="T51" i="4"/>
  <c r="T3" i="4"/>
  <c r="W3" i="4" s="1"/>
  <c r="T53" i="4"/>
  <c r="T22" i="4"/>
  <c r="T6" i="4"/>
  <c r="T44" i="4"/>
  <c r="T32" i="4"/>
  <c r="T20" i="4"/>
  <c r="T36" i="4"/>
  <c r="T52" i="4"/>
  <c r="T4" i="4"/>
  <c r="T21" i="4"/>
  <c r="N16" i="4"/>
  <c r="M7" i="4"/>
  <c r="M12" i="4"/>
  <c r="M5" i="4"/>
  <c r="M6" i="4"/>
  <c r="M8" i="4"/>
  <c r="M9" i="4"/>
  <c r="M11" i="4"/>
  <c r="E9" i="6"/>
  <c r="E8" i="6"/>
  <c r="E4" i="6"/>
  <c r="D7" i="6"/>
  <c r="D5" i="6"/>
  <c r="E6" i="6"/>
  <c r="F4" i="3"/>
  <c r="E5" i="3"/>
  <c r="I5" i="3" s="1"/>
  <c r="E7" i="3"/>
  <c r="I7" i="3" s="1"/>
  <c r="E6" i="3"/>
  <c r="I6" i="3" s="1"/>
  <c r="G6" i="3"/>
  <c r="G5" i="3"/>
  <c r="H6" i="3"/>
  <c r="H7" i="3"/>
  <c r="H5" i="3"/>
  <c r="G7" i="3"/>
  <c r="F6" i="5"/>
  <c r="H6" i="5" s="1"/>
  <c r="E5" i="5"/>
  <c r="I5" i="5" s="1"/>
  <c r="E7" i="5"/>
  <c r="I7" i="5" s="1"/>
  <c r="G7" i="5"/>
  <c r="F7" i="5"/>
  <c r="H7" i="5" s="1"/>
  <c r="E6" i="5"/>
  <c r="I6" i="5" s="1"/>
  <c r="G6" i="5"/>
  <c r="G5" i="5"/>
  <c r="E4" i="5"/>
  <c r="O5" i="5" s="1"/>
  <c r="F4" i="5"/>
  <c r="P5" i="5" s="1"/>
  <c r="L8" i="4"/>
  <c r="L6" i="4"/>
  <c r="L12" i="4"/>
  <c r="L11" i="4"/>
  <c r="L9" i="4"/>
  <c r="L7" i="4"/>
  <c r="L5" i="4"/>
  <c r="G10" i="4"/>
  <c r="G7" i="4"/>
  <c r="G8" i="4"/>
  <c r="G6" i="4"/>
  <c r="G5" i="4"/>
  <c r="G11" i="4"/>
  <c r="E4" i="4"/>
  <c r="O5" i="4" s="1"/>
  <c r="E5" i="4"/>
  <c r="I5" i="4" s="1"/>
  <c r="E11" i="4"/>
  <c r="I11" i="4" s="1"/>
  <c r="E10" i="4"/>
  <c r="I10" i="4" s="1"/>
  <c r="E8" i="4"/>
  <c r="I8" i="4" s="1"/>
  <c r="E7" i="4"/>
  <c r="I7" i="4" s="1"/>
  <c r="E6" i="4"/>
  <c r="I6" i="4" s="1"/>
  <c r="U3" i="5" l="1"/>
  <c r="V3" i="5"/>
  <c r="U7" i="5"/>
  <c r="V4" i="5"/>
  <c r="U4" i="5"/>
  <c r="V7" i="5"/>
  <c r="U11" i="5"/>
  <c r="V11" i="5"/>
  <c r="N8" i="5"/>
  <c r="O8" i="5"/>
  <c r="Q8" i="5" s="1"/>
  <c r="P8" i="5"/>
  <c r="N7" i="5"/>
  <c r="H5" i="5"/>
  <c r="O7" i="5"/>
  <c r="Q7" i="5" s="1"/>
  <c r="P7" i="5"/>
  <c r="N6" i="5"/>
  <c r="O6" i="5"/>
  <c r="Q6" i="5" s="1"/>
  <c r="Q5" i="5"/>
  <c r="N5" i="5"/>
  <c r="X35" i="4"/>
  <c r="X19" i="4"/>
  <c r="W5" i="4"/>
  <c r="W35" i="4"/>
  <c r="W7" i="4"/>
  <c r="Z35" i="4"/>
  <c r="AB19" i="4"/>
  <c r="Y11" i="4"/>
  <c r="U11" i="4" s="1" a="1"/>
  <c r="U11" i="4" s="1"/>
  <c r="AB51" i="4"/>
  <c r="Y51" i="4"/>
  <c r="U51" i="4" s="1" a="1"/>
  <c r="U51" i="4" s="1"/>
  <c r="AA51" i="4"/>
  <c r="Z51" i="4"/>
  <c r="V51" i="4" s="1" a="1"/>
  <c r="V51" i="4" s="1"/>
  <c r="AA35" i="4"/>
  <c r="Y35" i="4"/>
  <c r="AA19" i="4"/>
  <c r="Y19" i="4"/>
  <c r="Z27" i="4"/>
  <c r="V27" i="4" s="1" a="1"/>
  <c r="V27" i="4" s="1"/>
  <c r="Z11" i="4"/>
  <c r="Y27" i="4"/>
  <c r="U27" i="4" s="1" a="1"/>
  <c r="U27" i="4" s="1"/>
  <c r="Z19" i="4"/>
  <c r="AB35" i="4"/>
  <c r="W11" i="4"/>
  <c r="U7" i="4" a="1"/>
  <c r="U7" i="4" s="1"/>
  <c r="X9" i="4"/>
  <c r="V9" i="4" s="1" a="1"/>
  <c r="V9" i="4" s="1"/>
  <c r="X11" i="4"/>
  <c r="X5" i="4"/>
  <c r="V5" i="4" s="1" a="1"/>
  <c r="V5" i="4" s="1"/>
  <c r="H11" i="4"/>
  <c r="W19" i="4"/>
  <c r="H10" i="4"/>
  <c r="W9" i="4"/>
  <c r="U9" i="4" s="1" a="1"/>
  <c r="U9" i="4" s="1"/>
  <c r="W15" i="4"/>
  <c r="U15" i="4" s="1" a="1"/>
  <c r="U15" i="4" s="1"/>
  <c r="V15" i="4" a="1"/>
  <c r="V15" i="4" s="1"/>
  <c r="U5" i="4" a="1"/>
  <c r="U5" i="4" s="1"/>
  <c r="Z3" i="4"/>
  <c r="AB3" i="4"/>
  <c r="Y3" i="4"/>
  <c r="AA3" i="4"/>
  <c r="X3" i="4"/>
  <c r="X7" i="4"/>
  <c r="V7" i="4" s="1" a="1"/>
  <c r="V7" i="4" s="1"/>
  <c r="N10" i="4"/>
  <c r="P12" i="4"/>
  <c r="P11" i="4"/>
  <c r="P7" i="4"/>
  <c r="H5" i="4"/>
  <c r="P8" i="4"/>
  <c r="P6" i="4"/>
  <c r="P9" i="4"/>
  <c r="H8" i="4"/>
  <c r="N5" i="4"/>
  <c r="Q5" i="4"/>
  <c r="N7" i="4"/>
  <c r="N9" i="4"/>
  <c r="N11" i="4"/>
  <c r="N8" i="4"/>
  <c r="N12" i="4"/>
  <c r="N6" i="4"/>
  <c r="O12" i="4"/>
  <c r="Q12" i="4" s="1"/>
  <c r="O7" i="4"/>
  <c r="Q7" i="4" s="1"/>
  <c r="O6" i="4"/>
  <c r="Q6" i="4" s="1"/>
  <c r="O9" i="4"/>
  <c r="Q9" i="4" s="1"/>
  <c r="O11" i="4"/>
  <c r="Q11" i="4" s="1"/>
  <c r="O8" i="4"/>
  <c r="Q8" i="4" s="1"/>
  <c r="U19" i="4" l="1" a="1"/>
  <c r="U19" i="4" s="1"/>
  <c r="V19" i="4" a="1"/>
  <c r="V19" i="4" s="1"/>
  <c r="V3" i="4" a="1"/>
  <c r="V3" i="4" s="1"/>
  <c r="N13" i="4"/>
  <c r="Q13" i="4" s="1"/>
  <c r="N9" i="5"/>
  <c r="N10" i="5" s="1"/>
  <c r="N11" i="5" s="1" a="1"/>
  <c r="N11" i="5" s="1"/>
  <c r="V11" i="4" a="1"/>
  <c r="V11" i="4" s="1"/>
  <c r="U35" i="4" a="1"/>
  <c r="U35" i="4" s="1"/>
  <c r="U3" i="4" a="1"/>
  <c r="U3" i="4" s="1"/>
  <c r="V35" i="4" a="1"/>
  <c r="V35" i="4" s="1"/>
  <c r="Q9" i="5" l="1"/>
  <c r="N14" i="4"/>
  <c r="N15" i="4" s="1" a="1"/>
  <c r="N15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<sst xmlns="http://schemas.openxmlformats.org/spreadsheetml/2006/main" count="1461" uniqueCount="602">
  <si>
    <t>Cores/Agent</t>
  </si>
  <si>
    <t>Group</t>
  </si>
  <si>
    <t>Run</t>
  </si>
  <si>
    <t>Target</t>
  </si>
  <si>
    <t>Actions</t>
  </si>
  <si>
    <t>Total Cores</t>
  </si>
  <si>
    <t>UBAVisualizer (Session) Time</t>
  </si>
  <si>
    <t>VisualStudio Time</t>
  </si>
  <si>
    <t>Trace</t>
  </si>
  <si>
    <t>Single Agent</t>
  </si>
  <si>
    <t>UE5</t>
  </si>
  <si>
    <t>31m 3s</t>
  </si>
  <si>
    <t>31m 38s</t>
  </si>
  <si>
    <t>Group-1/Single-Agent-32-Core-UE5-Target-1.uba</t>
  </si>
  <si>
    <t>UnrealInsights</t>
  </si>
  <si>
    <t>2m 29s</t>
  </si>
  <si>
    <t>2m 34s</t>
  </si>
  <si>
    <t>Group-1/Single-Agent-32-Core-UnrealInsights-Target-1.uba</t>
  </si>
  <si>
    <t>UnrealPackageTool</t>
  </si>
  <si>
    <t>1m 17s</t>
  </si>
  <si>
    <t>1m 20s</t>
  </si>
  <si>
    <t>Group-1/Single-Agent-32-Core-UnrealPackageTool-Target-1.uba</t>
  </si>
  <si>
    <t>35m 47s</t>
  </si>
  <si>
    <t>36m 39s</t>
  </si>
  <si>
    <t>Group-2/Single-Agent-32-Core-UE5-Target-1.uba</t>
  </si>
  <si>
    <t>2m 56s</t>
  </si>
  <si>
    <t>3m 1s</t>
  </si>
  <si>
    <t>Group-2/Single-Agent-32-Core-UnrealInsights-Target-1.uba</t>
  </si>
  <si>
    <t>1m 25s</t>
  </si>
  <si>
    <t>1m 29s</t>
  </si>
  <si>
    <t>Group-2/Single-Agent-32-Core-UnrealPackageTool-Target-1.uba</t>
  </si>
  <si>
    <t>29m 47s</t>
  </si>
  <si>
    <t>30m 33s</t>
  </si>
  <si>
    <t>Group-1/Single-Agent-32-Core-UE5-Target-2.uba</t>
  </si>
  <si>
    <t>2m 25s</t>
  </si>
  <si>
    <t>2m 31s</t>
  </si>
  <si>
    <t>Group-1/Single-Agent-32-Core-UnrealInsights-Target-2.uba</t>
  </si>
  <si>
    <t>1m 24s</t>
  </si>
  <si>
    <t>1m 27s</t>
  </si>
  <si>
    <t>Group-1/Single-Agent-32-Core-UnrealPackageTool-Target-2.uba</t>
  </si>
  <si>
    <t>34m 26s</t>
  </si>
  <si>
    <t>35m 13s</t>
  </si>
  <si>
    <t>Group-2/Single-Agent-32-Core-UE5-Target-2.uba</t>
  </si>
  <si>
    <t>2m 40s</t>
  </si>
  <si>
    <t>2m 46s</t>
  </si>
  <si>
    <t>Group-2/Single-Agent-32-Core-UnrealInsights-Target-2.uba</t>
  </si>
  <si>
    <t>1m 28s</t>
  </si>
  <si>
    <t>1m 31s</t>
  </si>
  <si>
    <t>Group-2/Single-Agent-32-Core-UnrealPackageTool-Target-2.uba</t>
  </si>
  <si>
    <t>50m 18s</t>
  </si>
  <si>
    <t>51m 11s</t>
  </si>
  <si>
    <t>Group-1/Single-Agent-16-Core-UE5-Target-1.uba</t>
  </si>
  <si>
    <t>3m 17s</t>
  </si>
  <si>
    <t>3m 25s</t>
  </si>
  <si>
    <t>Group-1/Single-Agent-16-Core-UnrealInsights-Target-1.uba</t>
  </si>
  <si>
    <t>1m 38s</t>
  </si>
  <si>
    <t>1m 42s</t>
  </si>
  <si>
    <t>Group-1/Single-Agent-16-Core-UnrealPackageTool-Target-1.uba</t>
  </si>
  <si>
    <t>52m 0s</t>
  </si>
  <si>
    <t>52m 51s</t>
  </si>
  <si>
    <t>Group-2/Single-Agent-16-Core-UE5-Target-1.uba</t>
  </si>
  <si>
    <t>3m 36s</t>
  </si>
  <si>
    <t>3m 45s</t>
  </si>
  <si>
    <t>Group-2/Single-Agent-16-Core-UnrealInsights-Target-1.uba</t>
  </si>
  <si>
    <t>1m 50s</t>
  </si>
  <si>
    <t>1m 54s</t>
  </si>
  <si>
    <t>Group-2/Single-Agent-16-Core-UnrealPackageTool-Target-1.uba</t>
  </si>
  <si>
    <t>50m 34s</t>
  </si>
  <si>
    <t>56m 49s</t>
  </si>
  <si>
    <t>Group-1/Single-Agent-16-Core-UE5-Target-2.uba</t>
  </si>
  <si>
    <t>3m 9s</t>
  </si>
  <si>
    <t>3m 15s</t>
  </si>
  <si>
    <t>Group-1/Single-Agent-16-Core-UnrealInsights-Target-2.uba</t>
  </si>
  <si>
    <t>1m 32s</t>
  </si>
  <si>
    <t>Group-1/Single-Agent-16-Core-UnrealPackageTool-Target-2.uba</t>
  </si>
  <si>
    <t>52m 13s</t>
  </si>
  <si>
    <t>58m 5s</t>
  </si>
  <si>
    <t>Group-2/Single-Agent-16-Core-UE5-Target-2.uba</t>
  </si>
  <si>
    <t>3m 40s</t>
  </si>
  <si>
    <t>3m 47s</t>
  </si>
  <si>
    <t>Group-2/Single-Agent-16-Core-UnrealInsights-Target-2.uba</t>
  </si>
  <si>
    <t>1m 35s</t>
  </si>
  <si>
    <t>1m 39s</t>
  </si>
  <si>
    <t>Group-2/Single-Agent-16-Core-UnrealPackageTool-Target-2.uba</t>
  </si>
  <si>
    <t>25m 46s</t>
  </si>
  <si>
    <t>31m 48s</t>
  </si>
  <si>
    <t>Group-1/Single-Agent-64-Core-UE5-Target-1.uba</t>
  </si>
  <si>
    <t>2m 13s</t>
  </si>
  <si>
    <t>2m 50s</t>
  </si>
  <si>
    <t>Group-1/Single-Agent-64-Core-UnrealInsights-Target-1.uba</t>
  </si>
  <si>
    <t>1m 47s</t>
  </si>
  <si>
    <t>Group-1/Single-Agent-64-Core-UnrealPackageTool-Target-1.uba</t>
  </si>
  <si>
    <t>26m 56s</t>
  </si>
  <si>
    <t>33m 38s</t>
  </si>
  <si>
    <t>Group-2/Single-Agent-64-Core-UE5-Target-1.uba</t>
  </si>
  <si>
    <t>2m 58s</t>
  </si>
  <si>
    <t>3m 38s</t>
  </si>
  <si>
    <t>Group-2/Single-Agent-64-Core-UnrealInsights-Target-1.uba</t>
  </si>
  <si>
    <t>1m 44s</t>
  </si>
  <si>
    <t>1m 49s</t>
  </si>
  <si>
    <t>Group-2/Single-Agent-64-Core-UnrealPackageTool-Target-1.uba</t>
  </si>
  <si>
    <t>26m 55s</t>
  </si>
  <si>
    <t>33m 15s</t>
  </si>
  <si>
    <t>Group-1/Single-Agent-64-Core-UE5-Target-2.uba</t>
  </si>
  <si>
    <t>2m 1s</t>
  </si>
  <si>
    <t>2m 7s</t>
  </si>
  <si>
    <t>Group-1/Single-Agent-64-Core-UnrealInsights-Target-2.uba</t>
  </si>
  <si>
    <t>1m 21s</t>
  </si>
  <si>
    <t>Group-1/Single-Agent-64-Core-UnrealPackageTool-Target-2.uba</t>
  </si>
  <si>
    <t>26m 42s</t>
  </si>
  <si>
    <t>33m 11s</t>
  </si>
  <si>
    <t>Group-2/Single-Agent-64-Core-UE5-Target-2.uba</t>
  </si>
  <si>
    <t>1m 58s</t>
  </si>
  <si>
    <t>2m 5s</t>
  </si>
  <si>
    <t>Group-2/Single-Agent-64-Core-UnrealInsights-Target-2.uba</t>
  </si>
  <si>
    <t>1m 41s</t>
  </si>
  <si>
    <t>1m 45s</t>
  </si>
  <si>
    <t>Group-2/Single-Agent-64-Core-UnrealPackageTool-Target-2.uba</t>
  </si>
  <si>
    <t>1h 15m 50s</t>
  </si>
  <si>
    <t>1h 22m 9s</t>
  </si>
  <si>
    <t>Group-1/Single-Agent-8-Core-UE5-Target-1.uba</t>
  </si>
  <si>
    <t>4m 8s</t>
  </si>
  <si>
    <t>4m 13s</t>
  </si>
  <si>
    <t>Group-1/Single-Agent-8-Core-UnrealInsights-Target-1.uba</t>
  </si>
  <si>
    <t>Group-1/Single-Agent-8-Core-UnrealPackageTool-Target-1.uba</t>
  </si>
  <si>
    <t>1h 20m 50s</t>
  </si>
  <si>
    <t>1h 27m 10s</t>
  </si>
  <si>
    <t>Group-2/Single-Agent-8-Core-UE5-Target-1.uba</t>
  </si>
  <si>
    <t>4m 27s</t>
  </si>
  <si>
    <t>4m 32s</t>
  </si>
  <si>
    <t>Group-2/Single-Agent-8-Core-UnrealInsights-Target-1.uba</t>
  </si>
  <si>
    <t>2m 2s</t>
  </si>
  <si>
    <t>Group-2/Single-Agent-8-Core-UnrealPackageTool-Target-1.uba</t>
  </si>
  <si>
    <t>1h 16m 39s</t>
  </si>
  <si>
    <t>1h 22m 57s</t>
  </si>
  <si>
    <t>Group-1/Single-Agent-8-Core-UE5-Target-2.uba</t>
  </si>
  <si>
    <t>4m 17s</t>
  </si>
  <si>
    <t>4m 24s</t>
  </si>
  <si>
    <t>Group-1/Single-Agent-8-Core-UnrealInsights-Target-2.uba</t>
  </si>
  <si>
    <t>1m 52s</t>
  </si>
  <si>
    <t>Group-1/Single-Agent-8-Core-UnrealPackageTool-Target-2.uba</t>
  </si>
  <si>
    <t>1h 23m 53s</t>
  </si>
  <si>
    <t>1h 30m 22s</t>
  </si>
  <si>
    <t>Group-2/Single-Agent-8-Core-UE5-Target-2.uba</t>
  </si>
  <si>
    <t>4m 28s</t>
  </si>
  <si>
    <t>4m 35s</t>
  </si>
  <si>
    <t>Group-2/Single-Agent-8-Core-UnrealInsights-Target-2.uba</t>
  </si>
  <si>
    <t>Group-2/Single-Agent-8-Core-UnrealPackageTool-Target-2.uba</t>
  </si>
  <si>
    <t>1h 44m 42s</t>
  </si>
  <si>
    <t>1h 45m 45s</t>
  </si>
  <si>
    <t>Group-1/Single-Agent-4-Core-UE5-Target-1.uba</t>
  </si>
  <si>
    <t>5m 19s</t>
  </si>
  <si>
    <t>5m 32s</t>
  </si>
  <si>
    <t>Group-1/Single-Agent-4-Core-UnrealInsights-Target-1.uba</t>
  </si>
  <si>
    <t>2m 3s</t>
  </si>
  <si>
    <t>Group-1/Single-Agent-4-Core-UnrealPackageTool-Target-1.uba</t>
  </si>
  <si>
    <t>1h 53m 3s</t>
  </si>
  <si>
    <t>1h 54m 3s</t>
  </si>
  <si>
    <t>Group-2/Single-Agent-4-Core-UE5-Target-1.uba</t>
  </si>
  <si>
    <t>5m 57s</t>
  </si>
  <si>
    <t>6m 7s</t>
  </si>
  <si>
    <t>Group-2/Single-Agent-4-Core-UnrealInsights-Target-1.uba</t>
  </si>
  <si>
    <t>Group-2/Single-Agent-4-Core-UnrealPackageTool-Target-1.uba</t>
  </si>
  <si>
    <t>1h 43m 5s</t>
  </si>
  <si>
    <t>1h 43m 58s</t>
  </si>
  <si>
    <t>Group-1/Single-Agent-4-Core-UE5-Target-2.uba</t>
  </si>
  <si>
    <t>5m 23s</t>
  </si>
  <si>
    <t>5m 29s</t>
  </si>
  <si>
    <t>Group-1/Single-Agent-4-Core-UnrealInsights-Target-2.uba</t>
  </si>
  <si>
    <t>2m 16s</t>
  </si>
  <si>
    <t>Group-1/Single-Agent-4-Core-UnrealPackageTool-Target-2.uba</t>
  </si>
  <si>
    <t>1h 53m 58s</t>
  </si>
  <si>
    <t>1h 54m 54s</t>
  </si>
  <si>
    <t>Group-2/Single-Agent-4-Core-UE5-Target-2.uba</t>
  </si>
  <si>
    <t>5m 36s</t>
  </si>
  <si>
    <t>5m 43s</t>
  </si>
  <si>
    <t>Group-2/Single-Agent-4-Core-UnrealInsights-Target-2.uba</t>
  </si>
  <si>
    <t>2m 19s</t>
  </si>
  <si>
    <t>2m 22s</t>
  </si>
  <si>
    <t>Group-2/Single-Agent-4-Core-UnrealPackageTool-Target-2.uba</t>
  </si>
  <si>
    <t>Quad Agent</t>
  </si>
  <si>
    <t>54m 54s</t>
  </si>
  <si>
    <t>1h 1m 7s</t>
  </si>
  <si>
    <t>Group-1/Quad-Agent-4-Core-UE5-Target-1.uba</t>
  </si>
  <si>
    <t>4m 3s</t>
  </si>
  <si>
    <t>Group-1/Quad-Agent-4-Core-UnrealInsights-Target-1.uba</t>
  </si>
  <si>
    <t>1m 46s</t>
  </si>
  <si>
    <t>Group-1/Quad-Agent-4-Core-UnrealPackageTool-Target-1.uba</t>
  </si>
  <si>
    <t>59m 22s</t>
  </si>
  <si>
    <t>1h 5m 44s</t>
  </si>
  <si>
    <t>Group-2/Quad-Agent-4-Core-UE5-Target-1.uba</t>
  </si>
  <si>
    <t>3m 54s</t>
  </si>
  <si>
    <t>3m 59s</t>
  </si>
  <si>
    <t>Group-2/Quad-Agent-4-Core-UnrealInsights-Target-1.uba</t>
  </si>
  <si>
    <t>1m 48s</t>
  </si>
  <si>
    <t>Group-2/Quad-Agent-4-Core-UnrealPackageTool-Target-1.uba</t>
  </si>
  <si>
    <t>54m 46s</t>
  </si>
  <si>
    <t>1h 1m 0s</t>
  </si>
  <si>
    <t>Group-1/Quad-Agent-4-Core-UE5-Target-2.uba</t>
  </si>
  <si>
    <t>3m 51s</t>
  </si>
  <si>
    <t>3m 56s</t>
  </si>
  <si>
    <t>Group-1/Quad-Agent-4-Core-UnrealInsights-Target-2.uba</t>
  </si>
  <si>
    <t>1m 37s</t>
  </si>
  <si>
    <t>1m 40s</t>
  </si>
  <si>
    <t>Group-1/Quad-Agent-4-Core-UnrealPackageTool-Target-2.uba</t>
  </si>
  <si>
    <t>55m 31s</t>
  </si>
  <si>
    <t>1h 1m 25s</t>
  </si>
  <si>
    <t>Group-2/Quad-Agent-4-Core-UE5-Target-2.uba</t>
  </si>
  <si>
    <t>3m 57s</t>
  </si>
  <si>
    <t>Group-2/Quad-Agent-4-Core-UnrealInsights-Target-2.uba</t>
  </si>
  <si>
    <t>Group-2/Quad-Agent-4-Core-UnrealPackageTool-Target-2.uba</t>
  </si>
  <si>
    <t>38m 58s</t>
  </si>
  <si>
    <t>45m 16s</t>
  </si>
  <si>
    <t>Group-1/Quad-Agent-8-Core-UE5-Target-1.uba</t>
  </si>
  <si>
    <t>3m 28s</t>
  </si>
  <si>
    <t>3m 34s</t>
  </si>
  <si>
    <t>Group-1/Quad-Agent-8-Core-UnrealInsights-Target-1.uba</t>
  </si>
  <si>
    <t>1m 22s</t>
  </si>
  <si>
    <t>Group-1/Quad-Agent-8-Core-UnrealPackageTool-Target-1.uba</t>
  </si>
  <si>
    <t>39m 50s</t>
  </si>
  <si>
    <t>46m 14s</t>
  </si>
  <si>
    <t>Group-2/Quad-Agent-8-Core-UE5-Target-1.uba</t>
  </si>
  <si>
    <t>3m 20s</t>
  </si>
  <si>
    <t>Group-2/Quad-Agent-8-Core-UnrealInsights-Target-1.uba</t>
  </si>
  <si>
    <t>1m 26s</t>
  </si>
  <si>
    <t>1m 30s</t>
  </si>
  <si>
    <t>Group-2/Quad-Agent-8-Core-UnrealPackageTool-Target-1.uba</t>
  </si>
  <si>
    <t>35m 33s</t>
  </si>
  <si>
    <t>41m 46s</t>
  </si>
  <si>
    <t>Group-1/Quad-Agent-8-Core-UE5-Target-2.uba</t>
  </si>
  <si>
    <t>3m 2s</t>
  </si>
  <si>
    <t>3m 8s</t>
  </si>
  <si>
    <t>Group-1/Quad-Agent-8-Core-UnrealInsights-Target-2.uba</t>
  </si>
  <si>
    <t>1m 23s</t>
  </si>
  <si>
    <t>Group-1/Quad-Agent-8-Core-UnrealPackageTool-Target-2.uba</t>
  </si>
  <si>
    <t>38m 30s</t>
  </si>
  <si>
    <t>44m 55s</t>
  </si>
  <si>
    <t>Group-2/Quad-Agent-8-Core-UE5-Target-2.uba</t>
  </si>
  <si>
    <t>2m 55s</t>
  </si>
  <si>
    <t>Group-2/Quad-Agent-8-Core-UnrealInsights-Target-2.uba</t>
  </si>
  <si>
    <t>Group-2/Quad-Agent-8-Core-UnrealPackageTool-Target-2.uba</t>
  </si>
  <si>
    <t>29m 32s</t>
  </si>
  <si>
    <t>Group-1/Quad-Agent-16-Core-UE5-Target-1.uba</t>
  </si>
  <si>
    <t>2m 9s</t>
  </si>
  <si>
    <t>2m 47s</t>
  </si>
  <si>
    <t>Group-1/Quad-Agent-16-Core-UnrealInsights-Target-1.uba</t>
  </si>
  <si>
    <t>Group-1/Quad-Agent-16-Core-UnrealPackageTool-Target-1.uba</t>
  </si>
  <si>
    <t>30m 1s</t>
  </si>
  <si>
    <t>36m 34s</t>
  </si>
  <si>
    <t>Group-2/Quad-Agent-16-Core-UE5-Target-1.uba</t>
  </si>
  <si>
    <t>2m 48s</t>
  </si>
  <si>
    <t>3m 32s</t>
  </si>
  <si>
    <t>Group-2/Quad-Agent-16-Core-UnrealInsights-Target-1.uba</t>
  </si>
  <si>
    <t>Group-2/Quad-Agent-16-Core-UnrealPackageTool-Target-1.uba</t>
  </si>
  <si>
    <t>27m 33s</t>
  </si>
  <si>
    <t>33m 53s</t>
  </si>
  <si>
    <t>Lost</t>
  </si>
  <si>
    <t>2m 04s</t>
  </si>
  <si>
    <t>2m 10s</t>
  </si>
  <si>
    <t>Group-1/Quad-Agent-16-Core-UnrealInsights-Target-2.uba</t>
  </si>
  <si>
    <t>1m 15s</t>
  </si>
  <si>
    <t>1m 18s</t>
  </si>
  <si>
    <t>Group-1/Quad-Agent-16-Core-UnrealPackageTool-Target-2.uba</t>
  </si>
  <si>
    <t>30m 42s</t>
  </si>
  <si>
    <t>37m 17s</t>
  </si>
  <si>
    <t>Group-2/Quad-Agent-16-Core-UE5-Target-2.uba</t>
  </si>
  <si>
    <t>2m 49s</t>
  </si>
  <si>
    <t>3m 27s</t>
  </si>
  <si>
    <t>Group-2/Quad-Agent-16-Core-UnrealInsights-Target-2.uba</t>
  </si>
  <si>
    <t>Group-2/Quad-Agent-16-Core-UnrealPackageTool-Target-2.uba</t>
  </si>
  <si>
    <t>24m 18s</t>
  </si>
  <si>
    <t>30m 35s</t>
  </si>
  <si>
    <t>Group-1/Quad-Agent-24-Core-UE5-Target-1.uba</t>
  </si>
  <si>
    <t>2m 54s</t>
  </si>
  <si>
    <t>Group-1/Quad-Agent-24-Core-UnrealInsights-Target-1.uba</t>
  </si>
  <si>
    <t>Group-1/Quad-Agent-24-Core-UnrealPackageTool-Target-1.uba</t>
  </si>
  <si>
    <t>26m 2s</t>
  </si>
  <si>
    <t>31m 56s</t>
  </si>
  <si>
    <t>Group-2/Quad-Agent-24-Core-UE5-Target-1.uba</t>
  </si>
  <si>
    <t>2m 18s</t>
  </si>
  <si>
    <t>2m 24s</t>
  </si>
  <si>
    <t>Group-2/Quad-Agent-24-Core-UnrealInsights-Target-1.uba</t>
  </si>
  <si>
    <t>Group-2/Quad-Agent-24-Core-UnrealPackageTool-Target-1.uba</t>
  </si>
  <si>
    <t>23m 54s</t>
  </si>
  <si>
    <t>30m 14s</t>
  </si>
  <si>
    <t>Group-1/Quad-Agent-24-Core-UE5-Target-2.uba</t>
  </si>
  <si>
    <t>2m 11s</t>
  </si>
  <si>
    <t>2m 17s</t>
  </si>
  <si>
    <t>Group-1/Quad-Agent-24-Core-UnrealInsights-Target-2.uba</t>
  </si>
  <si>
    <t>Group-1/Quad-Agent-24-Core-UnrealPackageTool-Target-2.uba</t>
  </si>
  <si>
    <t>25m 52s</t>
  </si>
  <si>
    <t>32m 12s</t>
  </si>
  <si>
    <t>Group-2/Quad-Agent-24-Core-UE5-Target-2.uba</t>
  </si>
  <si>
    <t>2m 15s</t>
  </si>
  <si>
    <t>2m 21s</t>
  </si>
  <si>
    <t>Group-2/Quad-Agent-24-Core-UnrealInsights-Target-2.uba</t>
  </si>
  <si>
    <t>Group-2/Quad-Agent-24-Core-UnrealPackageTool-Target-2.uba</t>
  </si>
  <si>
    <t>RAM (GB)</t>
  </si>
  <si>
    <t>RAM</t>
  </si>
  <si>
    <t>Quad Agent
(RAM Tests)</t>
  </si>
  <si>
    <t>2h 53m 46s</t>
  </si>
  <si>
    <t>3h 0m 4s</t>
  </si>
  <si>
    <t>Group-1/RAM-Test-1GB-UE5-Target-1.uba</t>
  </si>
  <si>
    <t>10m 45s</t>
  </si>
  <si>
    <t>11m 24s</t>
  </si>
  <si>
    <t>Group-1/RAM-Test-1GB-UnrealInsights-Target-1.uba</t>
  </si>
  <si>
    <t>2m 38s</t>
  </si>
  <si>
    <t>2m 43s</t>
  </si>
  <si>
    <t>Group-1/RAM-Test-1GB-UnrealPackageTool-Target-1.uba</t>
  </si>
  <si>
    <t>3h 29m 31s</t>
  </si>
  <si>
    <t>3h 36m 13s</t>
  </si>
  <si>
    <t>Group-2/RAM-Test-1GB-UE5-Target-1.uba</t>
  </si>
  <si>
    <t>10m 26s</t>
  </si>
  <si>
    <t>11m 05s</t>
  </si>
  <si>
    <t>3m 29s</t>
  </si>
  <si>
    <t>3m 33s</t>
  </si>
  <si>
    <t>Group-2/RAM-Test-1GB-UnrealPackageTool-Target-1.uba</t>
  </si>
  <si>
    <t>2h 47m 42s</t>
  </si>
  <si>
    <t>2h 53m 50s</t>
  </si>
  <si>
    <t>Group-1/RAM-Test-1GB-UE5-Target-2.uba</t>
  </si>
  <si>
    <t>7m 56s</t>
  </si>
  <si>
    <t>8m 3s</t>
  </si>
  <si>
    <t>Group-1/RAM-Test-1GB-UnrealInsights-Target-2.uba</t>
  </si>
  <si>
    <t>2m 35s</t>
  </si>
  <si>
    <t>Group-1/RAM-Test-1GB-UnrealPackageTool-Target-2.uba</t>
  </si>
  <si>
    <t>3h 25m 46s</t>
  </si>
  <si>
    <t>3h 32m 15s</t>
  </si>
  <si>
    <t>Group-2/RAM-Test-1GB-UE5-Target-2.uba</t>
  </si>
  <si>
    <t>9m 47s</t>
  </si>
  <si>
    <t>9m 55s</t>
  </si>
  <si>
    <t>Group-2/RAM-Test-1GB-UnrealInsights-Target-2.uba</t>
  </si>
  <si>
    <t>3m</t>
  </si>
  <si>
    <t>Group-2/RAM-Test-1GB-UnrealPackageTool-Target-2.uba</t>
  </si>
  <si>
    <t>2h  55m 36s</t>
  </si>
  <si>
    <t>3h 1m 34s</t>
  </si>
  <si>
    <t>Group-1/RAM-Test-2GB-UE5-Target-1.uba</t>
  </si>
  <si>
    <t>7m 35s</t>
  </si>
  <si>
    <t>7m 41s</t>
  </si>
  <si>
    <t>Group-1/RAM-Test-2GB-UnrealInsights-Target-1.uba</t>
  </si>
  <si>
    <t>2m 26s</t>
  </si>
  <si>
    <t>Group-1/RAM-Test-2GB-UnrealPackageTool-Target-1.uba</t>
  </si>
  <si>
    <t>3h 22m 30s</t>
  </si>
  <si>
    <t>3h 28m 35s</t>
  </si>
  <si>
    <t>Group-2/RAM-Test-2GB-UE5-Target-1.uba</t>
  </si>
  <si>
    <t>8m 50s</t>
  </si>
  <si>
    <t>8m 57s</t>
  </si>
  <si>
    <t>Group-2/RAM-Test-2GB-UnrealInsights-Target-1.uba</t>
  </si>
  <si>
    <t>2m 37s</t>
  </si>
  <si>
    <t>2m 41s</t>
  </si>
  <si>
    <t>Group-2/RAM-Test-2GB-UnrealPackageTool-Target-1.uba</t>
  </si>
  <si>
    <t>2h 44m 41s</t>
  </si>
  <si>
    <t>2h 50m 56s</t>
  </si>
  <si>
    <t>Group-1/RAM-Test-2GB-UE5-Target-2.uba</t>
  </si>
  <si>
    <t>7m 9s</t>
  </si>
  <si>
    <t>7m 15s</t>
  </si>
  <si>
    <t>Group-1/RAM-Test-2GB-UnrealInsights-Target-2.uba</t>
  </si>
  <si>
    <t>2m 44s</t>
  </si>
  <si>
    <t>Group-1/RAM-Test-2GB-UnrealPackageTool-Target-2.uba</t>
  </si>
  <si>
    <t>3h 16m 27s</t>
  </si>
  <si>
    <t>3h 23m 2s</t>
  </si>
  <si>
    <t>Group-2/RAM-Test-2GB-UE5-Target-2.uba</t>
  </si>
  <si>
    <t>8m 21s</t>
  </si>
  <si>
    <t>8m 27s</t>
  </si>
  <si>
    <t>Group-2/RAM-Test-2GB-UnrealInsights-Target-2.uba</t>
  </si>
  <si>
    <t>2m 45s</t>
  </si>
  <si>
    <t>Group-2/RAM-Test-2GB-UnrealPackageTool-Target-2.uba</t>
  </si>
  <si>
    <t>2h 50m 28s</t>
  </si>
  <si>
    <t>2h 56m 51s</t>
  </si>
  <si>
    <t>Group-1/RAM-Test-4GB-UE5-Target-1.uba</t>
  </si>
  <si>
    <t>3m 5s</t>
  </si>
  <si>
    <t>3m 42s</t>
  </si>
  <si>
    <t>Group-1/RAM-Test-4GB-UnrealInsights-Target-1.uba</t>
  </si>
  <si>
    <t>1m 33s</t>
  </si>
  <si>
    <t>Group-1/RAM-Test-4GB-UnrealPackageTool-Target-1.uba</t>
  </si>
  <si>
    <t>3h 7m 2s</t>
  </si>
  <si>
    <t>3h 13m 39s</t>
  </si>
  <si>
    <t>Group-2/RAM-Test-4GB-UE5-Target-1.uba</t>
  </si>
  <si>
    <t>3m 24s</t>
  </si>
  <si>
    <t>Group-2/RAM-Test-4GB-UnrealInsights-Target-1.uba</t>
  </si>
  <si>
    <t>Group-2/RAM-Test-4GB-UnrealPackageTool-Target-1.uba</t>
  </si>
  <si>
    <t>2h 42m 3s</t>
  </si>
  <si>
    <t>2h 48m 17s</t>
  </si>
  <si>
    <t>Group-1/RAM-Test-4GB-UE5-Target-2.uba</t>
  </si>
  <si>
    <t>Group-1/RAM-Test-4GB-UnrealInsights-Target-2.uba</t>
  </si>
  <si>
    <t>Group-1/RAM-Test-4GB-UnrealPackageTool-Target-2.uba</t>
  </si>
  <si>
    <t>3h 3m 3s</t>
  </si>
  <si>
    <t>3h 9m 39s</t>
  </si>
  <si>
    <t>Group-2/RAM-Test-4GB-UE5-Target-2.uba</t>
  </si>
  <si>
    <t>3m 7s</t>
  </si>
  <si>
    <t>Group-2/RAM-Test-4GB-UnrealInsights-Target-2.uba</t>
  </si>
  <si>
    <t>Group-2/RAM-Test-4GB-UnrealPackageTool-Target-2.uba</t>
  </si>
  <si>
    <t>54m 2s</t>
  </si>
  <si>
    <t>1h 18s</t>
  </si>
  <si>
    <t>Group-1/RAM-Test-8GB-UE5-Target-1.uba</t>
  </si>
  <si>
    <t>Group-1/RAM-Test-8GB-UnrealInsights-Target-1.uba</t>
  </si>
  <si>
    <t>Group-1/RAM-Test-8GB-UnrealPackageTool-Target-1.uba</t>
  </si>
  <si>
    <t>57m 41s</t>
  </si>
  <si>
    <t>1h 4m 0s</t>
  </si>
  <si>
    <t>Group-2/RAM-Test-8GB-UE5-Target-1.uba</t>
  </si>
  <si>
    <t>2m 52s</t>
  </si>
  <si>
    <t>Group-2/RAM-Test-8GB-UnrealInsights-Target-1.uba</t>
  </si>
  <si>
    <t>Group-2/RAM-Test-8GB-UnrealPackageTool-Target-1.uba</t>
  </si>
  <si>
    <t>48m 26s</t>
  </si>
  <si>
    <t>54m 52s</t>
  </si>
  <si>
    <t>Group-1/RAM-Test-8GB-UE5-Target-2.uba</t>
  </si>
  <si>
    <t>Group-1/RAM-Test-8GB-UnrealInsights-Target-2.uba</t>
  </si>
  <si>
    <t>Group-1/RAM-Test-8GB-UnrealPackageTool-Target-2.uba</t>
  </si>
  <si>
    <t>51m 52s</t>
  </si>
  <si>
    <t>58m 17s</t>
  </si>
  <si>
    <t>Group-2/RAM-Test-8GB-UE5-Target-2.uba</t>
  </si>
  <si>
    <t>3m 49s</t>
  </si>
  <si>
    <t>Group-2/RAM-Test-8GB-UnrealInsights-Target-2.uba</t>
  </si>
  <si>
    <t>Group-2/RAM-Test-8GB-UnrealPackageTool-Target-2.uba</t>
  </si>
  <si>
    <t>36m 9s</t>
  </si>
  <si>
    <t>42m 12s</t>
  </si>
  <si>
    <t>Group-1/RAM-Test-24GB-UE5-Target-1.uba</t>
  </si>
  <si>
    <t>2m 32s</t>
  </si>
  <si>
    <t>Group-1/RAM-Test-24GB-UnrealInsights-Target-1.uba</t>
  </si>
  <si>
    <t>Group-1/RAM-Test-24GB-UnrealPackageTool-Target-1.uba</t>
  </si>
  <si>
    <t>38m 41s</t>
  </si>
  <si>
    <t>44m 51s</t>
  </si>
  <si>
    <t>Group-2/RAM-Test-24GB-UE5-Target-1.uba</t>
  </si>
  <si>
    <t>3m 22s</t>
  </si>
  <si>
    <t>4m</t>
  </si>
  <si>
    <t>Group-2/RAM-Test-24GB-UnrealInsights-Target-1.uba</t>
  </si>
  <si>
    <t>1m 43s</t>
  </si>
  <si>
    <t>Group-2/RAM-Test-24GB-UnrealPackageTool-Target-1.uba</t>
  </si>
  <si>
    <t>35m 43s</t>
  </si>
  <si>
    <t>41m 42s</t>
  </si>
  <si>
    <t>Group-1/RAM-Test-24GB-UE5-Target-2.uba</t>
  </si>
  <si>
    <t>2m 20s</t>
  </si>
  <si>
    <t>Group-1/RAM-Test-24GB-UnrealPackageTool-Target-2.uba</t>
  </si>
  <si>
    <t>38m 24s</t>
  </si>
  <si>
    <t>44m 47s</t>
  </si>
  <si>
    <t>Group-2/RAM-Test-24GB-UE5-Target-2.uba</t>
  </si>
  <si>
    <t>3m 14s</t>
  </si>
  <si>
    <t>1m 34s</t>
  </si>
  <si>
    <t>Group-2/RAM-Test-24GB-UnrealPackageTool-Target-2.uba</t>
  </si>
  <si>
    <t>Octa Agent</t>
  </si>
  <si>
    <t>49m 9s</t>
  </si>
  <si>
    <t>55m 11s</t>
  </si>
  <si>
    <t>Group-1/Octa-Agent-4-Core-UE5-Target-1.uba</t>
  </si>
  <si>
    <t>4m 36s</t>
  </si>
  <si>
    <t>4m 42s</t>
  </si>
  <si>
    <t>Group-1/Octa-Agent-4-Core-UnrealInsights-Target-1.uba</t>
  </si>
  <si>
    <t>1m 59s</t>
  </si>
  <si>
    <t>Group-1/Octa-Agent-4-Core-UnrealPackageTool-Target-1.uba</t>
  </si>
  <si>
    <t>54m 25s</t>
  </si>
  <si>
    <t>1h 54s</t>
  </si>
  <si>
    <t>Group-2/Octa-Agent-4-Core-UE5-Target-1.uba</t>
  </si>
  <si>
    <t>4m 1s</t>
  </si>
  <si>
    <t>Group-2/Octa-Agent-4-Core-UnrealInsights-Target-1.uba</t>
  </si>
  <si>
    <t>Group-2/Octa-Agent-4-Core-UnrealPackageTool-Target-1.uba</t>
  </si>
  <si>
    <t>45m 1s</t>
  </si>
  <si>
    <t>51m 15s</t>
  </si>
  <si>
    <t>Group-1/Octa-Agent-4-Core-UE5-Target-2.uba</t>
  </si>
  <si>
    <t>4m 2s</t>
  </si>
  <si>
    <t>4m 16s</t>
  </si>
  <si>
    <t>Group-1/Octa-Agent-4-Core-UnrealInsights-Target-2.uba</t>
  </si>
  <si>
    <t>1m 36s</t>
  </si>
  <si>
    <t>Group-1/Octa-Agent-4-Core-UnrealPackageTool-Target-2.uba</t>
  </si>
  <si>
    <t>51m 22s</t>
  </si>
  <si>
    <t>58m 12s</t>
  </si>
  <si>
    <t>Group-2/Octa-Agent-4-Core-UE5-Target-2.uba</t>
  </si>
  <si>
    <t>3m 50s</t>
  </si>
  <si>
    <t>4m 25s</t>
  </si>
  <si>
    <t>29m 52s</t>
  </si>
  <si>
    <t>36m 3s</t>
  </si>
  <si>
    <t>Group-1/Octa-Agent-8-Core-UE5-Target-1.uba</t>
  </si>
  <si>
    <t>3m 4s</t>
  </si>
  <si>
    <t>3m 10s</t>
  </si>
  <si>
    <t>Group-1/Octa-Agent-8-Core-UnrealInsights-Target-1.uba</t>
  </si>
  <si>
    <t>Group-1/Octa-Agent-8-Core-UnrealPackageTool-Target-1.uba</t>
  </si>
  <si>
    <t>32m 52</t>
  </si>
  <si>
    <t>39m 9s</t>
  </si>
  <si>
    <t>Group-2/Octa-Agent-8-Core-UE5-Target-1.uba</t>
  </si>
  <si>
    <t>2m 0s</t>
  </si>
  <si>
    <t>3m 6s</t>
  </si>
  <si>
    <t>Group-2/Octa-Agent-8-Core-UnrealInsights-Target-1.uba</t>
  </si>
  <si>
    <t>Group-2/Octa-Agent-8-Core-UnrealPackageTool-Target-1.uba</t>
  </si>
  <si>
    <t>33m 20s</t>
  </si>
  <si>
    <t>39m 32s</t>
  </si>
  <si>
    <t>Group-1/Octa-Agent-8-Core-UE5-Target-2.uba</t>
  </si>
  <si>
    <t>Group-1/Octa-Agent-8-Core-UnrealInsights-Target-2.uba</t>
  </si>
  <si>
    <t>Group-1/Octa-Agent-8-Core-UnrealPackageTool-Target-2.uba</t>
  </si>
  <si>
    <t>35m 17s</t>
  </si>
  <si>
    <t>41m 40s</t>
  </si>
  <si>
    <t>Group-2/Octa-Agent-8-Core-UE5-Target-2.uba</t>
  </si>
  <si>
    <t>Group-2/Octa-Agent-8-Core-UnrealInsights-Target-2.uba</t>
  </si>
  <si>
    <t>Group-2/Octa-Agent-8-Core-UnrealPackageTool-Target-2.uba</t>
  </si>
  <si>
    <t>27m</t>
  </si>
  <si>
    <t>33m 9s</t>
  </si>
  <si>
    <t>Group-1/Octa-Agent-12-Core-UE5-Target-1.uba</t>
  </si>
  <si>
    <t>2m 30s</t>
  </si>
  <si>
    <t>Group-1/Octa-Agent-12-Core-UnrealInsights-Target-1.uba</t>
  </si>
  <si>
    <t>Group-1/Octa-Agent-12-Core-UnrealPackageTool-Target-1.uba</t>
  </si>
  <si>
    <t>32m 25s</t>
  </si>
  <si>
    <t>38m 49s</t>
  </si>
  <si>
    <t>Group-2/Octa-Agent-12-Core-UE5-Target-1.uba</t>
  </si>
  <si>
    <t>Group-2/Octa-Agent-12-Core-UnrealInsights-Target-1.uba</t>
  </si>
  <si>
    <t>Group-2/Octa-Agent-12-Core-UnrealPackageTool-Target-1.uba</t>
  </si>
  <si>
    <t>25m 17s</t>
  </si>
  <si>
    <t>31m 25s</t>
  </si>
  <si>
    <t>Group-1/Octa-Agent-12-Core-UnrealInsights-Target-2.uba</t>
  </si>
  <si>
    <t>Group-1/Octa-Agent-12-Core-UnrealPackageTool-Target-2.uba</t>
  </si>
  <si>
    <t>30m 39s</t>
  </si>
  <si>
    <t>37m 34s</t>
  </si>
  <si>
    <t>Group-2/Octa-Agent-12-Core-UE5-Target-2.uba</t>
  </si>
  <si>
    <t>2m 39s</t>
  </si>
  <si>
    <t>Group-2/Octa-Agent-12-Core-UnrealInsights-Target-2.uba</t>
  </si>
  <si>
    <t>Group-2/Octa-Agent-12-Core-UnrealPackageTool-Target-2.uba</t>
  </si>
  <si>
    <t>No Agents</t>
  </si>
  <si>
    <t>2h 46m 39s</t>
  </si>
  <si>
    <t>2h 47m 36s</t>
  </si>
  <si>
    <t>Group-1/Baseline-UE5-Target-1.uba</t>
  </si>
  <si>
    <t>7m 57s</t>
  </si>
  <si>
    <t>Group-1/Baseline-UnrealInsights-Target-1.uba</t>
  </si>
  <si>
    <t>Group-1/Baseline-UnrealPackageTool-Target-1.uba</t>
  </si>
  <si>
    <t>3h 8m 36s</t>
  </si>
  <si>
    <t>3h 9m 30s</t>
  </si>
  <si>
    <t>Group-2/Baseline-UE5-Target-1.uba</t>
  </si>
  <si>
    <t>9m 4s</t>
  </si>
  <si>
    <t>9m 10s</t>
  </si>
  <si>
    <t>Group-2/Baseline-UnrealInsights-Target-1.uba</t>
  </si>
  <si>
    <t>2m 59s</t>
  </si>
  <si>
    <t>Group-2/Baseline-UnrealPackageTool-Target-1.uba</t>
  </si>
  <si>
    <t>2h 46m 17s</t>
  </si>
  <si>
    <t>2h 47m 7s</t>
  </si>
  <si>
    <t>Group-1/Baseline-UE5-Target-2.uba</t>
  </si>
  <si>
    <t>8m 42s</t>
  </si>
  <si>
    <t>8m 48s</t>
  </si>
  <si>
    <t>Group-1/Baseline-UnrealInsights-Target-2.uba</t>
  </si>
  <si>
    <t>2m 53s</t>
  </si>
  <si>
    <t>Group-1/Baseline-UnrealPackageTool-Target-2.uba</t>
  </si>
  <si>
    <t>3h 7m 11s</t>
  </si>
  <si>
    <t>3h 8m 7s</t>
  </si>
  <si>
    <t>Group-2/Baseline-UE5-Target-2.uba</t>
  </si>
  <si>
    <t>8m 52s</t>
  </si>
  <si>
    <t>9m 30s</t>
  </si>
  <si>
    <t>Group-2/Baseline-UnrealInsights-Target-2.uba</t>
  </si>
  <si>
    <t>Agents</t>
  </si>
  <si>
    <t>Target:</t>
  </si>
  <si>
    <t>Number of Remote Agents:</t>
  </si>
  <si>
    <t>Reciprocal graph</t>
  </si>
  <si>
    <t>Measured</t>
  </si>
  <si>
    <t>Measured @ 1 agent</t>
  </si>
  <si>
    <t>Measured @ 4 agents</t>
  </si>
  <si>
    <t>Measured @ 8 agents</t>
  </si>
  <si>
    <t>Cores for calculation</t>
  </si>
  <si>
    <t>Time</t>
  </si>
  <si>
    <t>Deviation</t>
  </si>
  <si>
    <t>Speedup</t>
  </si>
  <si>
    <t>Evolutionary Solver</t>
  </si>
  <si>
    <t>A (Asymptote)</t>
  </si>
  <si>
    <t>B (distributable tasks)</t>
  </si>
  <si>
    <t>C (initiator contribution)</t>
  </si>
  <si>
    <t>Graph points to plot</t>
  </si>
  <si>
    <t>Negative</t>
  </si>
  <si>
    <t>Positive</t>
  </si>
  <si>
    <t>Minimal bound (restricting overestimation)</t>
  </si>
  <si>
    <t>Maximal bound (restricting underestimation)</t>
  </si>
  <si>
    <t>Evolutionary algorithm penalty for overestimation</t>
  </si>
  <si>
    <t>0 cores/agent 
(Baseline)</t>
  </si>
  <si>
    <t>Cores</t>
  </si>
  <si>
    <t>Measured value</t>
  </si>
  <si>
    <t>Predicted Value</t>
  </si>
  <si>
    <t>Error^2</t>
  </si>
  <si>
    <t>4 cores/agent</t>
  </si>
  <si>
    <t>8 cores/agent</t>
  </si>
  <si>
    <t>12 cores/agent</t>
  </si>
  <si>
    <t>16 cores/agent</t>
  </si>
  <si>
    <t>24 cores/agent</t>
  </si>
  <si>
    <t>32 cores/agent</t>
  </si>
  <si>
    <t>64 cores/agent</t>
  </si>
  <si>
    <t>Total Error^2:</t>
  </si>
  <si>
    <t>Evolutionary Algorithm Target:</t>
  </si>
  <si>
    <t>RMSE:</t>
  </si>
  <si>
    <t>Deviation from global mean:</t>
  </si>
  <si>
    <t>Parallelization Percentile:</t>
  </si>
  <si>
    <t>Max Theoretical speedup:</t>
  </si>
  <si>
    <t>Number of Cores per Remote Agent:</t>
  </si>
  <si>
    <t>0 Agents
(Baseline)</t>
  </si>
  <si>
    <t>1 Agent</t>
  </si>
  <si>
    <t>4 Agents</t>
  </si>
  <si>
    <t>8 Agents</t>
  </si>
  <si>
    <t>Number of Cores:</t>
  </si>
  <si>
    <t>Baseline</t>
  </si>
  <si>
    <t>1GB</t>
  </si>
  <si>
    <t>2GB</t>
  </si>
  <si>
    <t>4GB</t>
  </si>
  <si>
    <t>8GB</t>
  </si>
  <si>
    <t>16GB</t>
  </si>
  <si>
    <t>24GB</t>
  </si>
  <si>
    <t>For some reason Excel doesn't dynamically recalculate the scale of these combo charts, resulting in barely visible bars. To solve this, these graphs are included without dynamic updating</t>
  </si>
  <si>
    <t>Dist. Cores</t>
  </si>
  <si>
    <t>A</t>
  </si>
  <si>
    <t>B</t>
  </si>
  <si>
    <t>C</t>
  </si>
  <si>
    <t>error^2</t>
  </si>
  <si>
    <t>Need More</t>
  </si>
  <si>
    <t>Than 2</t>
  </si>
  <si>
    <t>Data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</si>
</sst>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9"/>
      <name val="Calibri"/>
      <family val="2"/>
      <scheme val="minor"/>
    </font>
    <font>
      <sz val="8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1" tint="0.249977111117893"/>
        <bgColor theme="1" tint="0.249977111117893"/>
      </patternFill>
    </fill>
    <fill>
      <patternFill patternType="solid">
        <fgColor theme="1" tint="0.44999542222357858"/>
        <bgColor theme="1" tint="0.44999542222357858"/>
      </patternFill>
    </fill>
    <fill>
      <patternFill patternType="solid">
        <fgColor theme="2" tint="-0.499984740745262"/>
        <bgColor theme="1" tint="0.24997711111789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theme="0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 applyAlignment="1">
      <alignment vertical="center" wrapText="1"/>
    </xf>
    <xf numFmtId="0" fontId="1" fillId="3" borderId="0" xfId="0" applyFont="1" applyFill="1"/>
    <xf numFmtId="0" fontId="2" fillId="4" borderId="1" xfId="0" applyFont="1" applyFill="1" applyBorder="1"/>
    <xf numFmtId="46" fontId="2" fillId="4" borderId="1" xfId="0" applyNumberFormat="1" applyFont="1" applyFill="1" applyBorder="1"/>
    <xf numFmtId="0" fontId="2" fillId="5" borderId="0" xfId="0" applyFont="1" applyFill="1"/>
    <xf numFmtId="46" fontId="2" fillId="5" borderId="0" xfId="0" applyNumberFormat="1" applyFont="1" applyFill="1"/>
    <xf numFmtId="0" fontId="2" fillId="4" borderId="0" xfId="0" applyFont="1" applyFill="1"/>
    <xf numFmtId="0" fontId="2" fillId="6" borderId="0" xfId="0" applyFont="1" applyFill="1"/>
    <xf numFmtId="0" fontId="0" fillId="2" borderId="0" xfId="0" applyFill="1"/>
    <xf numFmtId="0" fontId="3" fillId="0" borderId="0" xfId="0" applyFont="1"/>
    <xf numFmtId="0" fontId="0" fillId="7" borderId="0" xfId="0" applyFill="1"/>
    <xf numFmtId="0" fontId="0" fillId="8" borderId="0" xfId="0" applyFill="1"/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wrapText="1"/>
    </xf>
    <xf numFmtId="0" fontId="0" fillId="9" borderId="0" xfId="0" applyFill="1"/>
    <xf numFmtId="0" fontId="0" fillId="7" borderId="0" xfId="0" applyFill="1" applyAlignment="1">
      <alignment wrapText="1"/>
    </xf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2" fontId="0" fillId="7" borderId="0" xfId="0" applyNumberFormat="1" applyFill="1"/>
    <xf numFmtId="2" fontId="0" fillId="8" borderId="0" xfId="0" applyNumberFormat="1" applyFill="1"/>
    <xf numFmtId="0" fontId="0" fillId="9" borderId="0" xfId="0" applyFill="1" applyAlignment="1">
      <alignment horizontal="center" vertical="center" wrapText="1"/>
    </xf>
    <xf numFmtId="0" fontId="5" fillId="0" borderId="0" xfId="0" applyFont="1"/>
    <xf numFmtId="165" fontId="0" fillId="7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2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left" vertical="center"/>
    </xf>
    <xf numFmtId="0" fontId="0" fillId="9" borderId="0" xfId="0" applyFill="1" applyAlignment="1">
      <alignment vertical="center"/>
    </xf>
    <xf numFmtId="165" fontId="0" fillId="7" borderId="0" xfId="0" applyNumberFormat="1" applyFill="1"/>
    <xf numFmtId="1" fontId="0" fillId="7" borderId="0" xfId="0" applyNumberFormat="1" applyFill="1"/>
    <xf numFmtId="164" fontId="0" fillId="7" borderId="0" xfId="0" applyNumberFormat="1" applyFill="1"/>
    <xf numFmtId="165" fontId="0" fillId="8" borderId="0" xfId="0" applyNumberFormat="1" applyFill="1"/>
    <xf numFmtId="1" fontId="0" fillId="8" borderId="0" xfId="0" applyNumberFormat="1" applyFill="1"/>
    <xf numFmtId="164" fontId="0" fillId="8" borderId="0" xfId="0" applyNumberFormat="1" applyFill="1"/>
    <xf numFmtId="2" fontId="0" fillId="7" borderId="0" xfId="0" applyNumberFormat="1" applyFill="1" applyAlignment="1">
      <alignment horizontal="left" vertical="center"/>
    </xf>
    <xf numFmtId="166" fontId="0" fillId="8" borderId="0" xfId="0" applyNumberFormat="1" applyFill="1" applyAlignment="1">
      <alignment horizontal="left" vertical="center"/>
    </xf>
    <xf numFmtId="166" fontId="0" fillId="7" borderId="0" xfId="0" applyNumberFormat="1" applyFill="1" applyAlignment="1">
      <alignment horizontal="left" vertical="center"/>
    </xf>
    <xf numFmtId="165" fontId="0" fillId="8" borderId="0" xfId="0" applyNumberFormat="1" applyFill="1" applyAlignment="1">
      <alignment horizontal="left" vertical="center"/>
    </xf>
    <xf numFmtId="165" fontId="0" fillId="7" borderId="0" xfId="0" applyNumberFormat="1" applyFill="1" applyAlignment="1">
      <alignment horizontal="left" vertical="center"/>
    </xf>
    <xf numFmtId="2" fontId="0" fillId="8" borderId="0" xfId="0" applyNumberFormat="1" applyFill="1" applyAlignment="1">
      <alignment horizontal="center" vertical="center"/>
    </xf>
    <xf numFmtId="1" fontId="0" fillId="8" borderId="0" xfId="0" applyNumberFormat="1" applyFill="1" applyAlignment="1">
      <alignment horizontal="center" vertical="center"/>
    </xf>
    <xf numFmtId="2" fontId="5" fillId="0" borderId="0" xfId="0" applyNumberFormat="1" applyFont="1"/>
    <xf numFmtId="0" fontId="5" fillId="0" borderId="0" xfId="0" applyFont="1" applyAlignment="1">
      <alignment horizontal="center"/>
    </xf>
    <xf numFmtId="0" fontId="0" fillId="9" borderId="0" xfId="0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9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/>
    </xf>
    <xf numFmtId="0" fontId="0" fillId="9" borderId="0" xfId="0" applyFill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Time</a:t>
            </a:r>
            <a:r>
              <a:rPr lang="en-US" baseline="0"/>
              <a:t> in Seconds (Lower is better)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4.7332481498065168E-2"/>
                  <c:y val="-6.8490793674309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73F-40F7-AE71-2509A6FEC6D1}"/>
                </c:ext>
              </c:extLst>
            </c:dLbl>
            <c:dLbl>
              <c:idx val="1"/>
              <c:layout>
                <c:manualLayout>
                  <c:x val="-3.2584373555247341E-2"/>
                  <c:y val="-5.73796858035328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73F-40F7-AE71-2509A6FEC6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'Core Count Scaling'!$F$4:$F$11</c:f>
                <c:numCache>
                  <c:formatCode>General</c:formatCode>
                  <c:ptCount val="8"/>
                  <c:pt idx="0">
                    <c:v>685.25</c:v>
                  </c:pt>
                  <c:pt idx="1">
                    <c:v>316</c:v>
                  </c:pt>
                  <c:pt idx="2">
                    <c:v>275</c:v>
                  </c:pt>
                  <c:pt idx="3">
                    <c:v>#N/A</c:v>
                  </c:pt>
                  <c:pt idx="4">
                    <c:v>56.75</c:v>
                  </c:pt>
                  <c:pt idx="5">
                    <c:v>#N/A</c:v>
                  </c:pt>
                  <c:pt idx="6">
                    <c:v>181.25</c:v>
                  </c:pt>
                  <c:pt idx="7">
                    <c:v>21.25</c:v>
                  </c:pt>
                </c:numCache>
              </c:numRef>
            </c:plus>
            <c:minus>
              <c:numRef>
                <c:f>'Core Count Scaling'!$E$4:$E$11</c:f>
                <c:numCache>
                  <c:formatCode>General</c:formatCode>
                  <c:ptCount val="8"/>
                  <c:pt idx="0">
                    <c:v>653.75</c:v>
                  </c:pt>
                  <c:pt idx="1">
                    <c:v>337</c:v>
                  </c:pt>
                  <c:pt idx="2">
                    <c:v>208</c:v>
                  </c:pt>
                  <c:pt idx="3">
                    <c:v>#N/A</c:v>
                  </c:pt>
                  <c:pt idx="4">
                    <c:v>58.25</c:v>
                  </c:pt>
                  <c:pt idx="5">
                    <c:v>#N/A</c:v>
                  </c:pt>
                  <c:pt idx="6">
                    <c:v>178.75</c:v>
                  </c:pt>
                  <c:pt idx="7">
                    <c:v>48.75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'Core Count Scaling'!$B$4:$B$11</c:f>
              <c:strCache>
                <c:ptCount val="8"/>
                <c:pt idx="0">
                  <c:v>0 cores/agent 
(Baseline)</c:v>
                </c:pt>
                <c:pt idx="1">
                  <c:v>4 cores/agent</c:v>
                </c:pt>
                <c:pt idx="2">
                  <c:v>8 cores/agent</c:v>
                </c:pt>
                <c:pt idx="3">
                  <c:v>12 cores/agent</c:v>
                </c:pt>
                <c:pt idx="4">
                  <c:v>16 cores/agent</c:v>
                </c:pt>
                <c:pt idx="5">
                  <c:v>24 cores/agent</c:v>
                </c:pt>
                <c:pt idx="6">
                  <c:v>32 cores/agent</c:v>
                </c:pt>
                <c:pt idx="7">
                  <c:v>64 cores/agent</c:v>
                </c:pt>
              </c:strCache>
            </c:strRef>
          </c:cat>
          <c:val>
            <c:numRef>
              <c:f>'Core Count Scaling'!$D$4:$D$11</c:f>
              <c:numCache>
                <c:formatCode>General</c:formatCode>
                <c:ptCount val="8"/>
                <c:pt idx="0">
                  <c:v>10630.75</c:v>
                </c:pt>
                <c:pt idx="1">
                  <c:v>6522</c:v>
                </c:pt>
                <c:pt idx="2">
                  <c:v>4758</c:v>
                </c:pt>
                <c:pt idx="3">
                  <c:v>#N/A</c:v>
                </c:pt>
                <c:pt idx="4">
                  <c:v>3076.25</c:v>
                </c:pt>
                <c:pt idx="5">
                  <c:v>#N/A</c:v>
                </c:pt>
                <c:pt idx="6">
                  <c:v>1965.75</c:v>
                </c:pt>
                <c:pt idx="7">
                  <c:v>1594.75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F73F-40F7-AE71-2509A6FEC6D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67301503"/>
        <c:axId val="967302463"/>
      </c:lineChart>
      <c:catAx>
        <c:axId val="9673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302463"/>
        <c:crosses val="autoZero"/>
        <c:auto val="1"/>
        <c:lblAlgn val="ctr"/>
        <c:lblOffset val="100"/>
        <c:noMultiLvlLbl val="0"/>
      </c:catAx>
      <c:valAx>
        <c:axId val="96730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3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Speedup relative to Baseline</a:t>
            </a:r>
            <a:r>
              <a:rPr lang="en-US" baseline="0"/>
              <a:t> (Higher is better)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'Core Count Scaling'!$I$4:$I$11</c:f>
                <c:numCache>
                  <c:formatCode>General</c:formatCode>
                  <c:ptCount val="8"/>
                  <c:pt idx="0">
                    <c:v>0</c:v>
                  </c:pt>
                  <c:pt idx="1">
                    <c:v>8.8812338910377653E-2</c:v>
                  </c:pt>
                  <c:pt idx="2">
                    <c:v>0.10213895394223238</c:v>
                  </c:pt>
                  <c:pt idx="3">
                    <c:v>#N/A</c:v>
                  </c:pt>
                  <c:pt idx="4">
                    <c:v>6.6698946238591628E-2</c:v>
                  </c:pt>
                  <c:pt idx="5">
                    <c:v>#N/A</c:v>
                  </c:pt>
                  <c:pt idx="6">
                    <c:v>0.540949992032699</c:v>
                  </c:pt>
                  <c:pt idx="7">
                    <c:v>0.21020179713228693</c:v>
                  </c:pt>
                </c:numCache>
              </c:numRef>
            </c:plus>
            <c:minus>
              <c:numRef>
                <c:f>'Core Count Scaling'!$H$4:$H$11</c:f>
                <c:numCache>
                  <c:formatCode>General</c:formatCode>
                  <c:ptCount val="8"/>
                  <c:pt idx="0">
                    <c:v>0</c:v>
                  </c:pt>
                  <c:pt idx="1">
                    <c:v>7.5325339331167029E-2</c:v>
                  </c:pt>
                  <c:pt idx="2">
                    <c:v>0.12208019964409766</c:v>
                  </c:pt>
                  <c:pt idx="3">
                    <c:v>#N/A</c:v>
                  </c:pt>
                  <c:pt idx="4">
                    <c:v>6.2596168274880792E-2</c:v>
                  </c:pt>
                  <c:pt idx="5">
                    <c:v>#N/A</c:v>
                  </c:pt>
                  <c:pt idx="6">
                    <c:v>0.45654289832145878</c:v>
                  </c:pt>
                  <c:pt idx="7">
                    <c:v>8.7657457987921461E-2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'Core Count Scaling'!$B$4:$B$11</c:f>
              <c:strCache>
                <c:ptCount val="8"/>
                <c:pt idx="0">
                  <c:v>0 cores/agent 
(Baseline)</c:v>
                </c:pt>
                <c:pt idx="1">
                  <c:v>4 cores/agent</c:v>
                </c:pt>
                <c:pt idx="2">
                  <c:v>8 cores/agent</c:v>
                </c:pt>
                <c:pt idx="3">
                  <c:v>12 cores/agent</c:v>
                </c:pt>
                <c:pt idx="4">
                  <c:v>16 cores/agent</c:v>
                </c:pt>
                <c:pt idx="5">
                  <c:v>24 cores/agent</c:v>
                </c:pt>
                <c:pt idx="6">
                  <c:v>32 cores/agent</c:v>
                </c:pt>
                <c:pt idx="7">
                  <c:v>64 cores/agent</c:v>
                </c:pt>
              </c:strCache>
            </c:strRef>
          </c:cat>
          <c:val>
            <c:numRef>
              <c:f>'Core Count Scaling'!$G$4:$G$11</c:f>
              <c:numCache>
                <c:formatCode>0.00</c:formatCode>
                <c:ptCount val="8"/>
                <c:pt idx="0">
                  <c:v>1</c:v>
                </c:pt>
                <c:pt idx="1">
                  <c:v>1.6299831340079731</c:v>
                </c:pt>
                <c:pt idx="2">
                  <c:v>2.2342896174863389</c:v>
                </c:pt>
                <c:pt idx="3">
                  <c:v>#N/A</c:v>
                </c:pt>
                <c:pt idx="4">
                  <c:v>3.4557496952458351</c:v>
                </c:pt>
                <c:pt idx="5">
                  <c:v>#N/A</c:v>
                </c:pt>
                <c:pt idx="6">
                  <c:v>5.4079867734961207</c:v>
                </c:pt>
                <c:pt idx="7">
                  <c:v>6.6660918639285152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6F-41EF-AD7B-472B4F110AD9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847398911"/>
        <c:axId val="847404191"/>
      </c:barChart>
      <c:catAx>
        <c:axId val="8473989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404191"/>
        <c:crosses val="autoZero"/>
        <c:auto val="1"/>
        <c:lblAlgn val="ctr"/>
        <c:lblOffset val="100"/>
        <c:noMultiLvlLbl val="0"/>
      </c:catAx>
      <c:valAx>
        <c:axId val="84740419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39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Predictive (multiplicative inverse) function</a:t>
            </a:r>
            <a:br>
              <a:rPr lang="en-US"/>
            </a:br>
            <a:r>
              <a:rPr lang="en-US" sz="1200"/>
              <a:t>Error bars represent</a:t>
            </a:r>
            <a:r>
              <a:rPr lang="en-US" sz="1200" baseline="0"/>
              <a:t> the actual min/max measurements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UE5</c:v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'Core Count Scaling'!$V$3:$V$67</c:f>
                <c:numCache>
                  <c:formatCode>General</c:formatCode>
                  <c:ptCount val="65"/>
                  <c:pt idx="0">
                    <c:v>657.05757115749475</c:v>
                  </c:pt>
                  <c:pt idx="1">
                    <c:v>0</c:v>
                  </c:pt>
                  <c:pt idx="2">
                    <c:v>435.09313915857638</c:v>
                  </c:pt>
                  <c:pt idx="3">
                    <c:v>0</c:v>
                  </c:pt>
                  <c:pt idx="4">
                    <c:v>320.31977392614863</c:v>
                  </c:pt>
                  <c:pt idx="5">
                    <c:v>0</c:v>
                  </c:pt>
                  <c:pt idx="6">
                    <c:v>#N/A</c:v>
                  </c:pt>
                  <c:pt idx="7">
                    <c:v>0</c:v>
                  </c:pt>
                  <c:pt idx="8">
                    <c:v>-106.39382228490831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#N/A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-43.265269653877112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70.024157644001662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</c:numCache>
              </c:numRef>
            </c:plus>
            <c:minus>
              <c:numRef>
                <c:f>'Core Count Scaling'!$U$3:$U$67</c:f>
                <c:numCache>
                  <c:formatCode>General</c:formatCode>
                  <c:ptCount val="65"/>
                  <c:pt idx="0">
                    <c:v>681.94242884250525</c:v>
                  </c:pt>
                  <c:pt idx="1">
                    <c:v>0</c:v>
                  </c:pt>
                  <c:pt idx="2">
                    <c:v>217.90686084142362</c:v>
                  </c:pt>
                  <c:pt idx="3">
                    <c:v>0</c:v>
                  </c:pt>
                  <c:pt idx="4">
                    <c:v>162.68022607385137</c:v>
                  </c:pt>
                  <c:pt idx="5">
                    <c:v>0</c:v>
                  </c:pt>
                  <c:pt idx="6">
                    <c:v>#N/A</c:v>
                  </c:pt>
                  <c:pt idx="7">
                    <c:v>0</c:v>
                  </c:pt>
                  <c:pt idx="8">
                    <c:v>221.39382228490831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#N/A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403.26526965387711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-2.4157644001661538E-2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/>
                </a:solidFill>
                <a:round/>
              </a:ln>
              <a:effectLst/>
            </c:spPr>
          </c:errBars>
          <c:cat>
            <c:numRef>
              <c:f>'Core Count Scaling'!$S$3:$S$67</c:f>
              <c:numCache>
                <c:formatCode>General</c:formatCode>
                <c:ptCount val="6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</c:numCache>
            </c:numRef>
          </c:cat>
          <c:val>
            <c:numRef>
              <c:f>'Core Count Scaling'!$T$3:$T$67</c:f>
              <c:numCache>
                <c:formatCode>General</c:formatCode>
                <c:ptCount val="65"/>
                <c:pt idx="0">
                  <c:v>10658.942428842505</c:v>
                </c:pt>
                <c:pt idx="1">
                  <c:v>7945.5002200825311</c:v>
                </c:pt>
                <c:pt idx="2">
                  <c:v>6402.9068608414236</c:v>
                </c:pt>
                <c:pt idx="3">
                  <c:v>5407.8177994676134</c:v>
                </c:pt>
                <c:pt idx="4">
                  <c:v>4712.6802260738514</c:v>
                </c:pt>
                <c:pt idx="5">
                  <c:v>4199.6350098231833</c:v>
                </c:pt>
                <c:pt idx="6">
                  <c:v>3805.4190272148235</c:v>
                </c:pt>
                <c:pt idx="7">
                  <c:v>3493.0330358069536</c:v>
                </c:pt>
                <c:pt idx="8">
                  <c:v>3239.3938222849083</c:v>
                </c:pt>
                <c:pt idx="9">
                  <c:v>3029.3539578856894</c:v>
                </c:pt>
                <c:pt idx="10">
                  <c:v>2852.5614008705975</c:v>
                </c:pt>
                <c:pt idx="11">
                  <c:v>2701.7010121012099</c:v>
                </c:pt>
                <c:pt idx="12">
                  <c:v>2571.4570071745816</c:v>
                </c:pt>
                <c:pt idx="13">
                  <c:v>2457.8735721138473</c:v>
                </c:pt>
                <c:pt idx="14">
                  <c:v>2357.9460955816053</c:v>
                </c:pt>
                <c:pt idx="15">
                  <c:v>2269.3514771760706</c:v>
                </c:pt>
                <c:pt idx="16">
                  <c:v>2190.2652696538771</c:v>
                </c:pt>
                <c:pt idx="17">
                  <c:v>2119.2346982429335</c:v>
                </c:pt>
                <c:pt idx="18">
                  <c:v>2055.0886018899928</c:v>
                </c:pt>
                <c:pt idx="19">
                  <c:v>1996.872350358216</c:v>
                </c:pt>
                <c:pt idx="20">
                  <c:v>1943.8000132538104</c:v>
                </c:pt>
                <c:pt idx="21">
                  <c:v>1895.2186714618151</c:v>
                </c:pt>
                <c:pt idx="22">
                  <c:v>1850.5814207428457</c:v>
                </c:pt>
                <c:pt idx="23">
                  <c:v>1809.4266939730837</c:v>
                </c:pt>
                <c:pt idx="24">
                  <c:v>1771.3622414116765</c:v>
                </c:pt>
                <c:pt idx="25">
                  <c:v>1736.0525891080151</c:v>
                </c:pt>
                <c:pt idx="26">
                  <c:v>1703.209125196438</c:v>
                </c:pt>
                <c:pt idx="27">
                  <c:v>1672.5821933524549</c:v>
                </c:pt>
                <c:pt idx="28">
                  <c:v>1643.9547347804801</c:v>
                </c:pt>
                <c:pt idx="29">
                  <c:v>1617.1371360834519</c:v>
                </c:pt>
                <c:pt idx="30">
                  <c:v>1591.9630243603494</c:v>
                </c:pt>
                <c:pt idx="31">
                  <c:v>1568.2858123977999</c:v>
                </c:pt>
                <c:pt idx="32">
                  <c:v>1545.9758423559983</c:v>
                </c:pt>
                <c:pt idx="33">
                  <c:v>1524.9180103830504</c:v>
                </c:pt>
                <c:pt idx="34">
                  <c:v>1505.0097802647742</c:v>
                </c:pt>
                <c:pt idx="35">
                  <c:v>1486.1595137504983</c:v>
                </c:pt>
                <c:pt idx="36">
                  <c:v>1468.2850601785944</c:v>
                </c:pt>
                <c:pt idx="37">
                  <c:v>1451.3125596064085</c:v>
                </c:pt>
                <c:pt idx="38">
                  <c:v>1435.1754226651901</c:v>
                </c:pt>
                <c:pt idx="39">
                  <c:v>1419.8134574276451</c:v>
                </c:pt>
                <c:pt idx="40">
                  <c:v>1405.1721191509323</c:v>
                </c:pt>
                <c:pt idx="41">
                  <c:v>1391.2018631832245</c:v>
                </c:pt>
                <c:pt idx="42">
                  <c:v>1377.8575848549344</c:v>
                </c:pt>
                <c:pt idx="43">
                  <c:v>1365.0981330119425</c:v>
                </c:pt>
                <c:pt idx="44">
                  <c:v>1352.8858861370215</c:v>
                </c:pt>
                <c:pt idx="45">
                  <c:v>1341.1863818620764</c:v>
                </c:pt>
                <c:pt idx="46">
                  <c:v>1329.9679921866968</c:v>
                </c:pt>
                <c:pt idx="47">
                  <c:v>1319.2016379570869</c:v>
                </c:pt>
                <c:pt idx="48">
                  <c:v>1308.8605371778415</c:v>
                </c:pt>
                <c:pt idx="49">
                  <c:v>1298.9199825699623</c:v>
                </c:pt>
                <c:pt idx="50">
                  <c:v>1289.3571444856084</c:v>
                </c:pt>
                <c:pt idx="51">
                  <c:v>1280.1508958702341</c:v>
                </c:pt>
                <c:pt idx="52">
                  <c:v>1271.2816564473324</c:v>
                </c:pt>
                <c:pt idx="53">
                  <c:v>1262.7312537071987</c:v>
                </c:pt>
                <c:pt idx="54">
                  <c:v>1254.4827986227599</c:v>
                </c:pt>
                <c:pt idx="55">
                  <c:v>1246.5205743038084</c:v>
                </c:pt>
                <c:pt idx="56">
                  <c:v>1238.8299360450244</c:v>
                </c:pt>
                <c:pt idx="57">
                  <c:v>1231.3972214303681</c:v>
                </c:pt>
                <c:pt idx="58">
                  <c:v>1224.2096693328936</c:v>
                </c:pt>
                <c:pt idx="59">
                  <c:v>1217.2553467997079</c:v>
                </c:pt>
                <c:pt idx="60">
                  <c:v>1210.5230829408479</c:v>
                </c:pt>
                <c:pt idx="61">
                  <c:v>1204.0024090516226</c:v>
                </c:pt>
                <c:pt idx="62">
                  <c:v>1197.6835042933394</c:v>
                </c:pt>
                <c:pt idx="63">
                  <c:v>1191.5571463396054</c:v>
                </c:pt>
                <c:pt idx="64">
                  <c:v>1185.6146664665716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6A-4BF9-8362-05F3BFF85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9280624"/>
        <c:axId val="1824521152"/>
      </c:lineChart>
      <c:catAx>
        <c:axId val="1949280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Cores / Agent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52115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82452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28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Time</a:t>
            </a:r>
            <a:r>
              <a:rPr lang="en-US" baseline="0"/>
              <a:t> in Seconds (Lower is better)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4.7332481498065168E-2"/>
                  <c:y val="-6.8490793674309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024-49D8-9354-DAEC62253161}"/>
                </c:ext>
              </c:extLst>
            </c:dLbl>
            <c:dLbl>
              <c:idx val="1"/>
              <c:layout>
                <c:manualLayout>
                  <c:x val="-3.2584373555247341E-2"/>
                  <c:y val="-5.73796858035328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024-49D8-9354-DAEC622531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'Agent Count Scaling'!$F$4:$F$7</c:f>
                <c:numCache>
                  <c:formatCode>General</c:formatCode>
                  <c:ptCount val="4"/>
                  <c:pt idx="0">
                    <c:v>685.25</c:v>
                  </c:pt>
                  <c:pt idx="1">
                    <c:v>316</c:v>
                  </c:pt>
                  <c:pt idx="2">
                    <c:v>193.75</c:v>
                  </c:pt>
                  <c:pt idx="3">
                    <c:v>265.75</c:v>
                  </c:pt>
                </c:numCache>
              </c:numRef>
            </c:plus>
            <c:minus>
              <c:numRef>
                <c:f>'Agent Count Scaling'!$E$4:$E$7</c:f>
                <c:numCache>
                  <c:formatCode>General</c:formatCode>
                  <c:ptCount val="4"/>
                  <c:pt idx="0">
                    <c:v>653.75</c:v>
                  </c:pt>
                  <c:pt idx="1">
                    <c:v>337</c:v>
                  </c:pt>
                  <c:pt idx="2">
                    <c:v>82.25</c:v>
                  </c:pt>
                  <c:pt idx="3">
                    <c:v>298.25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'Agent Count Scaling'!$B$4:$B$7</c:f>
              <c:strCache>
                <c:ptCount val="4"/>
                <c:pt idx="0">
                  <c:v>0 Agents
(Baseline)</c:v>
                </c:pt>
                <c:pt idx="1">
                  <c:v>1 Agent</c:v>
                </c:pt>
                <c:pt idx="2">
                  <c:v>4 Agents</c:v>
                </c:pt>
                <c:pt idx="3">
                  <c:v>8 Agents</c:v>
                </c:pt>
              </c:strCache>
            </c:strRef>
          </c:cat>
          <c:val>
            <c:numRef>
              <c:f>'Agent Count Scaling'!$D$4:$D$7</c:f>
              <c:numCache>
                <c:formatCode>General</c:formatCode>
                <c:ptCount val="4"/>
                <c:pt idx="0">
                  <c:v>10630.75</c:v>
                </c:pt>
                <c:pt idx="1">
                  <c:v>6522</c:v>
                </c:pt>
                <c:pt idx="2">
                  <c:v>3368.25</c:v>
                </c:pt>
                <c:pt idx="3">
                  <c:v>2999.25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24-49D8-9354-DAEC6225316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67301503"/>
        <c:axId val="967302463"/>
      </c:lineChart>
      <c:catAx>
        <c:axId val="9673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302463"/>
        <c:crosses val="autoZero"/>
        <c:auto val="1"/>
        <c:lblAlgn val="ctr"/>
        <c:lblOffset val="100"/>
        <c:noMultiLvlLbl val="0"/>
      </c:catAx>
      <c:valAx>
        <c:axId val="96730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3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Speedup relative to Baseline</a:t>
            </a:r>
            <a:r>
              <a:rPr lang="en-US" baseline="0"/>
              <a:t> (Higher is better)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'Agent Count Scaling'!$I$4:$I$7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8.8812338910377653E-2</c:v>
                  </c:pt>
                  <c:pt idx="2">
                    <c:v>7.9000153323937727E-2</c:v>
                  </c:pt>
                  <c:pt idx="3">
                    <c:v>0.39138763927067144</c:v>
                  </c:pt>
                </c:numCache>
              </c:numRef>
            </c:plus>
            <c:minus>
              <c:numRef>
                <c:f>'Agent Count Scaling'!$H$4:$H$7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7.5325339331167029E-2</c:v>
                  </c:pt>
                  <c:pt idx="2">
                    <c:v>0.17167512911738614</c:v>
                  </c:pt>
                  <c:pt idx="3">
                    <c:v>0.28849701578023401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'Agent Count Scaling'!$B$4:$B$7</c:f>
              <c:strCache>
                <c:ptCount val="4"/>
                <c:pt idx="0">
                  <c:v>0 Agents
(Baseline)</c:v>
                </c:pt>
                <c:pt idx="1">
                  <c:v>1 Agent</c:v>
                </c:pt>
                <c:pt idx="2">
                  <c:v>4 Agents</c:v>
                </c:pt>
                <c:pt idx="3">
                  <c:v>8 Agents</c:v>
                </c:pt>
              </c:strCache>
            </c:strRef>
          </c:cat>
          <c:val>
            <c:numRef>
              <c:f>'Agent Count Scaling'!$G$4:$G$7</c:f>
              <c:numCache>
                <c:formatCode>0.00</c:formatCode>
                <c:ptCount val="4"/>
                <c:pt idx="0">
                  <c:v>1</c:v>
                </c:pt>
                <c:pt idx="1">
                  <c:v>1.6299831340079731</c:v>
                </c:pt>
                <c:pt idx="2">
                  <c:v>3.1561641802122766</c:v>
                </c:pt>
                <c:pt idx="3">
                  <c:v>3.5444694506960075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9A-4B47-BC81-5BB04A55AAB1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847398911"/>
        <c:axId val="847404191"/>
      </c:barChart>
      <c:catAx>
        <c:axId val="8473989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404191"/>
        <c:crosses val="autoZero"/>
        <c:auto val="1"/>
        <c:lblAlgn val="ctr"/>
        <c:lblOffset val="100"/>
        <c:noMultiLvlLbl val="0"/>
      </c:catAx>
      <c:valAx>
        <c:axId val="84740419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39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Predictive (multiplicative inverse) function</a:t>
            </a:r>
            <a:br>
              <a:rPr lang="en-US"/>
            </a:br>
            <a:r>
              <a:rPr lang="en-US" sz="1200"/>
              <a:t>Error bars represent</a:t>
            </a:r>
            <a:r>
              <a:rPr lang="en-US" sz="1200" baseline="0"/>
              <a:t> the actual min/max measurements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UE5</c:v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'Agent Count Scaling'!$V$3:$V$35</c:f>
                <c:numCache>
                  <c:formatCode>General</c:formatCode>
                  <c:ptCount val="33"/>
                  <c:pt idx="0">
                    <c:v>693.3443243243255</c:v>
                  </c:pt>
                  <c:pt idx="1">
                    <c:v>435.09582938388667</c:v>
                  </c:pt>
                  <c:pt idx="2">
                    <c:v>0</c:v>
                  </c:pt>
                  <c:pt idx="3">
                    <c:v>0</c:v>
                  </c:pt>
                  <c:pt idx="4">
                    <c:v>-91.046536203522464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461.15940724478605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</c:numCache>
              </c:numRef>
            </c:plus>
            <c:minus>
              <c:numRef>
                <c:f>'Agent Count Scaling'!$U$3:$U$35</c:f>
                <c:numCache>
                  <c:formatCode>General</c:formatCode>
                  <c:ptCount val="33"/>
                  <c:pt idx="0">
                    <c:v>645.6556756756745</c:v>
                  </c:pt>
                  <c:pt idx="1">
                    <c:v>217.90417061611333</c:v>
                  </c:pt>
                  <c:pt idx="2">
                    <c:v>0</c:v>
                  </c:pt>
                  <c:pt idx="3">
                    <c:v>0</c:v>
                  </c:pt>
                  <c:pt idx="4">
                    <c:v>367.04653620352246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102.84059275521395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/>
                </a:solidFill>
                <a:round/>
              </a:ln>
              <a:effectLst/>
            </c:spPr>
          </c:errBars>
          <c:cat>
            <c:numRef>
              <c:f>'Agent Count Scaling'!$S$3:$S$35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numCache>
            </c:numRef>
          </c:cat>
          <c:val>
            <c:numRef>
              <c:f>'Agent Count Scaling'!$T$3:$T$35</c:f>
              <c:numCache>
                <c:formatCode>General</c:formatCode>
                <c:ptCount val="33"/>
                <c:pt idx="0">
                  <c:v>10622.655675675675</c:v>
                </c:pt>
                <c:pt idx="1">
                  <c:v>6402.9041706161133</c:v>
                </c:pt>
                <c:pt idx="2">
                  <c:v>4896.8192282958198</c:v>
                </c:pt>
                <c:pt idx="3">
                  <c:v>4123.622335766423</c:v>
                </c:pt>
                <c:pt idx="4">
                  <c:v>3653.0465362035225</c:v>
                </c:pt>
                <c:pt idx="5">
                  <c:v>3336.5053682487724</c:v>
                </c:pt>
                <c:pt idx="6">
                  <c:v>3109.0053164556962</c:v>
                </c:pt>
                <c:pt idx="7">
                  <c:v>2937.6088532675712</c:v>
                </c:pt>
                <c:pt idx="8">
                  <c:v>2803.8405927552139</c:v>
                </c:pt>
                <c:pt idx="9">
                  <c:v>2696.5348961424334</c:v>
                </c:pt>
                <c:pt idx="10">
                  <c:v>2608.5461566156619</c:v>
                </c:pt>
                <c:pt idx="11">
                  <c:v>2535.0890008257638</c:v>
                </c:pt>
                <c:pt idx="12">
                  <c:v>2472.8381235697943</c:v>
                </c:pt>
                <c:pt idx="13">
                  <c:v>2419.4109000708718</c:v>
                </c:pt>
                <c:pt idx="14">
                  <c:v>2373.055446724024</c:v>
                </c:pt>
                <c:pt idx="15">
                  <c:v>2332.4548603351955</c:v>
                </c:pt>
                <c:pt idx="16">
                  <c:v>2296.6001052016363</c:v>
                </c:pt>
                <c:pt idx="17">
                  <c:v>2264.7050138045279</c:v>
                </c:pt>
                <c:pt idx="18">
                  <c:v>2236.1479748822608</c:v>
                </c:pt>
                <c:pt idx="19">
                  <c:v>2210.4310193933366</c:v>
                </c:pt>
                <c:pt idx="20">
                  <c:v>2187.1505352913309</c:v>
                </c:pt>
                <c:pt idx="21">
                  <c:v>2165.9759294436908</c:v>
                </c:pt>
                <c:pt idx="22">
                  <c:v>2146.633829511034</c:v>
                </c:pt>
                <c:pt idx="23">
                  <c:v>2128.8962173372047</c:v>
                </c:pt>
                <c:pt idx="24">
                  <c:v>2112.5713978494623</c:v>
                </c:pt>
                <c:pt idx="25">
                  <c:v>2097.4970432784376</c:v>
                </c:pt>
                <c:pt idx="26">
                  <c:v>2083.5347768351162</c:v>
                </c:pt>
                <c:pt idx="27">
                  <c:v>2070.5659124866597</c:v>
                </c:pt>
                <c:pt idx="28">
                  <c:v>2058.4880728272074</c:v>
                </c:pt>
                <c:pt idx="29">
                  <c:v>2047.2124809033544</c:v>
                </c:pt>
                <c:pt idx="30">
                  <c:v>2036.661774349084</c:v>
                </c:pt>
                <c:pt idx="31">
                  <c:v>2026.7682279663657</c:v>
                </c:pt>
                <c:pt idx="32">
                  <c:v>2017.4722983992751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B4-42D1-A34B-EA643B725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9280624"/>
        <c:axId val="1824521152"/>
      </c:lineChart>
      <c:catAx>
        <c:axId val="1949280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52115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82452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28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Time</a:t>
            </a:r>
            <a:r>
              <a:rPr lang="en-US" baseline="0"/>
              <a:t> in Seconds (Lower is better)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3.2584373555247341E-2"/>
                  <c:y val="-5.73796858035328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6B8-40E6-9FA7-590CF51D6E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'Core Distribution Scaling'!$F$5:$F$7</c:f>
                <c:numCache>
                  <c:formatCode>General</c:formatCode>
                  <c:ptCount val="3"/>
                  <c:pt idx="0">
                    <c:v>56.75</c:v>
                  </c:pt>
                  <c:pt idx="1">
                    <c:v>193.75</c:v>
                  </c:pt>
                  <c:pt idx="2">
                    <c:v>#N/A</c:v>
                  </c:pt>
                </c:numCache>
              </c:numRef>
            </c:plus>
            <c:minus>
              <c:numRef>
                <c:f>'Core Distribution Scaling'!$E$5:$E$7</c:f>
                <c:numCache>
                  <c:formatCode>General</c:formatCode>
                  <c:ptCount val="3"/>
                  <c:pt idx="0">
                    <c:v>58.25</c:v>
                  </c:pt>
                  <c:pt idx="1">
                    <c:v>82.25</c:v>
                  </c:pt>
                  <c:pt idx="2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'Core Distribution Scaling'!$B$5:$B$7</c:f>
              <c:strCache>
                <c:ptCount val="3"/>
                <c:pt idx="0">
                  <c:v>1 Agent</c:v>
                </c:pt>
                <c:pt idx="1">
                  <c:v>4 Agents</c:v>
                </c:pt>
                <c:pt idx="2">
                  <c:v>8 Agents</c:v>
                </c:pt>
              </c:strCache>
            </c:strRef>
          </c:cat>
          <c:val>
            <c:numRef>
              <c:f>'Core Distribution Scaling'!$D$5:$D$7</c:f>
              <c:numCache>
                <c:formatCode>General</c:formatCode>
                <c:ptCount val="3"/>
                <c:pt idx="0">
                  <c:v>3076.25</c:v>
                </c:pt>
                <c:pt idx="1">
                  <c:v>3368.25</c:v>
                </c:pt>
                <c:pt idx="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B8-40E6-9FA7-590CF51D6ED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67301503"/>
        <c:axId val="967302463"/>
      </c:lineChart>
      <c:catAx>
        <c:axId val="9673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302463"/>
        <c:crosses val="autoZero"/>
        <c:auto val="1"/>
        <c:lblAlgn val="ctr"/>
        <c:lblOffset val="100"/>
        <c:noMultiLvlLbl val="0"/>
      </c:catAx>
      <c:valAx>
        <c:axId val="96730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3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Speedup relative to Baseline</a:t>
            </a:r>
            <a:r>
              <a:rPr lang="en-US" baseline="0"/>
              <a:t> (Higher is better)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'Core Distribution Scaling'!$I$4:$I$7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6.6698946238591628E-2</c:v>
                  </c:pt>
                  <c:pt idx="2">
                    <c:v>7.9000153323937727E-2</c:v>
                  </c:pt>
                  <c:pt idx="3">
                    <c:v>#N/A</c:v>
                  </c:pt>
                </c:numCache>
              </c:numRef>
            </c:plus>
            <c:minus>
              <c:numRef>
                <c:f>'Core Distribution Scaling'!$H$4:$H$7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6.2596168274880792E-2</c:v>
                  </c:pt>
                  <c:pt idx="2">
                    <c:v>0.17167512911738614</c:v>
                  </c:pt>
                  <c:pt idx="3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'Core Distribution Scaling'!$B$4:$B$7</c:f>
              <c:strCache>
                <c:ptCount val="4"/>
                <c:pt idx="0">
                  <c:v>0 Agents
(Baseline)</c:v>
                </c:pt>
                <c:pt idx="1">
                  <c:v>1 Agent</c:v>
                </c:pt>
                <c:pt idx="2">
                  <c:v>4 Agents</c:v>
                </c:pt>
                <c:pt idx="3">
                  <c:v>8 Agents</c:v>
                </c:pt>
              </c:strCache>
            </c:strRef>
          </c:cat>
          <c:val>
            <c:numRef>
              <c:f>'Core Distribution Scaling'!$G$4:$G$7</c:f>
              <c:numCache>
                <c:formatCode>0.00</c:formatCode>
                <c:ptCount val="4"/>
                <c:pt idx="0">
                  <c:v>1</c:v>
                </c:pt>
                <c:pt idx="1">
                  <c:v>3.4557496952458351</c:v>
                </c:pt>
                <c:pt idx="2">
                  <c:v>3.1561641802122766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38-4F8C-AA43-BC82C2715AAC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847398911"/>
        <c:axId val="847404191"/>
      </c:barChart>
      <c:catAx>
        <c:axId val="8473989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404191"/>
        <c:crosses val="autoZero"/>
        <c:auto val="1"/>
        <c:lblAlgn val="ctr"/>
        <c:lblOffset val="100"/>
        <c:noMultiLvlLbl val="0"/>
      </c:catAx>
      <c:valAx>
        <c:axId val="84740419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39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UnrealInsights RAM Scaling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Baseline</c:v>
          </c:tx>
          <c:spPr>
            <a:noFill/>
            <a:ln>
              <a:noFill/>
            </a:ln>
            <a:effectLst>
              <a:outerShdw dist="25400" dir="16200000" sx="99000" sy="99000" algn="t" rotWithShape="0">
                <a:schemeClr val="accent6">
                  <a:lumMod val="75000"/>
                </a:schemeClr>
              </a:outerShdw>
            </a:effectLst>
          </c:spPr>
          <c:invertIfNegative val="0"/>
          <c:dLbls>
            <c:delete val="1"/>
          </c:dLbls>
          <c:cat>
            <c:strLit>
              <c:ptCount val="6"/>
              <c:pt idx="0">
                <c:v>1GB</c:v>
              </c:pt>
              <c:pt idx="1">
                <c:v>2GB</c:v>
              </c:pt>
              <c:pt idx="2">
                <c:v>4GB</c:v>
              </c:pt>
              <c:pt idx="3">
                <c:v>8GB</c:v>
              </c:pt>
              <c:pt idx="4">
                <c:v>16GB</c:v>
              </c:pt>
              <c:pt idx="5">
                <c:v>24GB</c:v>
              </c:pt>
            </c:strLit>
          </c:cat>
          <c:val>
            <c:numLit>
              <c:formatCode>General</c:formatCode>
              <c:ptCount val="6"/>
              <c:pt idx="0">
                <c:v>518.75</c:v>
              </c:pt>
              <c:pt idx="1">
                <c:v>518.75</c:v>
              </c:pt>
              <c:pt idx="2">
                <c:v>518.75</c:v>
              </c:pt>
              <c:pt idx="3">
                <c:v>518.75</c:v>
              </c:pt>
              <c:pt idx="4">
                <c:v>518.75</c:v>
              </c:pt>
              <c:pt idx="5">
                <c:v>518.75</c:v>
              </c:pt>
            </c:numLit>
          </c:val>
          <c:extLst>
            <c:ext xmlns:c16="http://schemas.microsoft.com/office/drawing/2014/chart" uri="{C3380CC4-5D6E-409C-BE32-E72D297353CC}">
              <c16:uniqueId val="{00000000-D8B7-40A5-B884-4EC3370D03CF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1216131264"/>
        <c:axId val="1216133664"/>
      </c:barChar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6"/>
                <c:pt idx="0">
                  <c:v>61.5</c:v>
                </c:pt>
                <c:pt idx="1">
                  <c:v>51.25</c:v>
                </c:pt>
                <c:pt idx="2">
                  <c:v>12.75</c:v>
                </c:pt>
                <c:pt idx="3">
                  <c:v>25.25</c:v>
                </c:pt>
                <c:pt idx="4">
                  <c:v>16.75</c:v>
                </c:pt>
                <c:pt idx="5">
                  <c:v>33</c:v>
                </c:pt>
              </c:numLit>
            </c:plus>
            <c:minus>
              <c:numLit>
                <c:formatCode>General</c:formatCode>
                <c:ptCount val="6"/>
                <c:pt idx="0">
                  <c:v>107.5</c:v>
                </c:pt>
                <c:pt idx="1">
                  <c:v>49.75</c:v>
                </c:pt>
                <c:pt idx="2">
                  <c:v>15.25</c:v>
                </c:pt>
                <c:pt idx="3">
                  <c:v>15.75</c:v>
                </c:pt>
                <c:pt idx="4">
                  <c:v>16.25</c:v>
                </c:pt>
                <c:pt idx="5">
                  <c:v>29</c:v>
                </c:pt>
              </c:numLit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cat>
            <c:strLit>
              <c:ptCount val="6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8</c:v>
              </c:pt>
              <c:pt idx="4">
                <c:v>16</c:v>
              </c:pt>
              <c:pt idx="5">
                <c:v>24</c:v>
              </c:pt>
            </c:strLit>
          </c:cat>
          <c:val>
            <c:numLit>
              <c:formatCode>General</c:formatCode>
              <c:ptCount val="6"/>
              <c:pt idx="0">
                <c:v>583.5</c:v>
              </c:pt>
              <c:pt idx="1">
                <c:v>478.75</c:v>
              </c:pt>
              <c:pt idx="2">
                <c:v>172.25</c:v>
              </c:pt>
              <c:pt idx="3">
                <c:v>169.75</c:v>
              </c:pt>
              <c:pt idx="4">
                <c:v>191.25</c:v>
              </c:pt>
              <c:pt idx="5">
                <c:v>169</c:v>
              </c:pt>
            </c:numLit>
          </c:val>
          <c:extLst>
            <c:ext xmlns:c16="http://schemas.microsoft.com/office/drawing/2014/chart" uri="{C3380CC4-5D6E-409C-BE32-E72D297353CC}">
              <c16:uniqueId val="{00000001-D8B7-40A5-B884-4EC3370D0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288306207"/>
        <c:axId val="1288322527"/>
      </c:barChart>
      <c:catAx>
        <c:axId val="1216131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GB of RAM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133664"/>
        <c:crosses val="autoZero"/>
        <c:auto val="1"/>
        <c:lblAlgn val="ctr"/>
        <c:lblOffset val="100"/>
        <c:noMultiLvlLbl val="0"/>
      </c:catAx>
      <c:valAx>
        <c:axId val="1216133664"/>
        <c:scaling>
          <c:orientation val="minMax"/>
          <c:max val="700"/>
        </c:scaling>
        <c:delete val="1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in Seconds (Lower is better)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216131264"/>
        <c:crosses val="autoZero"/>
        <c:crossBetween val="between"/>
      </c:valAx>
      <c:valAx>
        <c:axId val="1288322527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crossAx val="1288306207"/>
        <c:crosses val="max"/>
        <c:crossBetween val="between"/>
      </c:valAx>
      <c:catAx>
        <c:axId val="12883062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883225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UnrealPackageTool RAM Scaling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Baseline</c:v>
          </c:tx>
          <c:spPr>
            <a:noFill/>
            <a:ln>
              <a:noFill/>
            </a:ln>
            <a:effectLst>
              <a:outerShdw dist="25400" dir="16200000" algn="ctr" rotWithShape="0">
                <a:schemeClr val="accent6">
                  <a:lumMod val="75000"/>
                </a:schemeClr>
              </a:outerShdw>
            </a:effectLst>
          </c:spPr>
          <c:invertIfNegative val="0"/>
          <c:dLbls>
            <c:delete val="1"/>
          </c:dLbls>
          <c:cat>
            <c:strLit>
              <c:ptCount val="6"/>
              <c:pt idx="0">
                <c:v>1GB</c:v>
              </c:pt>
              <c:pt idx="1">
                <c:v>2GB</c:v>
              </c:pt>
              <c:pt idx="2">
                <c:v>4GB</c:v>
              </c:pt>
              <c:pt idx="3">
                <c:v>8GB</c:v>
              </c:pt>
              <c:pt idx="4">
                <c:v>16GB</c:v>
              </c:pt>
              <c:pt idx="5">
                <c:v>24GB</c:v>
              </c:pt>
            </c:strLit>
          </c:cat>
          <c:val>
            <c:numLit>
              <c:formatCode>General</c:formatCode>
              <c:ptCount val="6"/>
              <c:pt idx="0">
                <c:v>167.75</c:v>
              </c:pt>
              <c:pt idx="1">
                <c:v>167.75</c:v>
              </c:pt>
              <c:pt idx="2">
                <c:v>167.75</c:v>
              </c:pt>
              <c:pt idx="3">
                <c:v>167.75</c:v>
              </c:pt>
              <c:pt idx="4">
                <c:v>167.75</c:v>
              </c:pt>
              <c:pt idx="5">
                <c:v>167.75</c:v>
              </c:pt>
            </c:numLit>
          </c:val>
          <c:extLst>
            <c:ext xmlns:c16="http://schemas.microsoft.com/office/drawing/2014/chart" uri="{C3380CC4-5D6E-409C-BE32-E72D297353CC}">
              <c16:uniqueId val="{00000000-8FB8-4DC7-AA66-C9E3E3FB1859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1216131264"/>
        <c:axId val="1216133664"/>
      </c:barChar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6"/>
                <c:pt idx="0">
                  <c:v>35.5</c:v>
                </c:pt>
                <c:pt idx="1">
                  <c:v>9</c:v>
                </c:pt>
                <c:pt idx="2">
                  <c:v>3.75</c:v>
                </c:pt>
                <c:pt idx="3">
                  <c:v>6</c:v>
                </c:pt>
                <c:pt idx="4">
                  <c:v>3</c:v>
                </c:pt>
                <c:pt idx="5">
                  <c:v>5.25</c:v>
                </c:pt>
              </c:numLit>
            </c:plus>
            <c:minus>
              <c:numLit>
                <c:formatCode>General</c:formatCode>
                <c:ptCount val="6"/>
                <c:pt idx="0">
                  <c:v>22.5</c:v>
                </c:pt>
                <c:pt idx="1">
                  <c:v>14</c:v>
                </c:pt>
                <c:pt idx="2">
                  <c:v>3.25</c:v>
                </c:pt>
                <c:pt idx="3">
                  <c:v>8</c:v>
                </c:pt>
                <c:pt idx="4">
                  <c:v>3</c:v>
                </c:pt>
                <c:pt idx="5">
                  <c:v>4.75</c:v>
                </c:pt>
              </c:numLit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cat>
            <c:strLit>
              <c:ptCount val="6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8</c:v>
              </c:pt>
              <c:pt idx="4">
                <c:v>16</c:v>
              </c:pt>
              <c:pt idx="5">
                <c:v>24</c:v>
              </c:pt>
            </c:strLit>
          </c:cat>
          <c:val>
            <c:numLit>
              <c:formatCode>General</c:formatCode>
              <c:ptCount val="6"/>
              <c:pt idx="0">
                <c:v>173.5</c:v>
              </c:pt>
              <c:pt idx="1">
                <c:v>156</c:v>
              </c:pt>
              <c:pt idx="2">
                <c:v>89.25</c:v>
              </c:pt>
              <c:pt idx="3">
                <c:v>86</c:v>
              </c:pt>
              <c:pt idx="4">
                <c:v>83</c:v>
              </c:pt>
              <c:pt idx="5">
                <c:v>92.75</c:v>
              </c:pt>
            </c:numLit>
          </c:val>
          <c:extLst>
            <c:ext xmlns:c16="http://schemas.microsoft.com/office/drawing/2014/chart" uri="{C3380CC4-5D6E-409C-BE32-E72D297353CC}">
              <c16:uniqueId val="{00000001-8FB8-4DC7-AA66-C9E3E3FB1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288332607"/>
        <c:axId val="1288305727"/>
      </c:barChart>
      <c:catAx>
        <c:axId val="1216131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GB of RAM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133664"/>
        <c:crosses val="autoZero"/>
        <c:auto val="1"/>
        <c:lblAlgn val="ctr"/>
        <c:lblOffset val="100"/>
        <c:noMultiLvlLbl val="0"/>
      </c:catAx>
      <c:valAx>
        <c:axId val="1216133664"/>
        <c:scaling>
          <c:orientation val="minMax"/>
          <c:max val="250"/>
        </c:scaling>
        <c:delete val="1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in seconds (Lower is better)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216131264"/>
        <c:crosses val="autoZero"/>
        <c:crossBetween val="between"/>
      </c:valAx>
      <c:valAx>
        <c:axId val="1288305727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crossAx val="1288332607"/>
        <c:crosses val="max"/>
        <c:crossBetween val="between"/>
      </c:valAx>
      <c:catAx>
        <c:axId val="12883326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883057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UE5 RAM Scaling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Baseline</c:v>
          </c:tx>
          <c:spPr>
            <a:noFill/>
            <a:ln>
              <a:noFill/>
            </a:ln>
            <a:effectLst>
              <a:outerShdw dist="25400" dir="16200000" algn="t" rotWithShape="0">
                <a:schemeClr val="accent6">
                  <a:lumMod val="75000"/>
                </a:schemeClr>
              </a:outerShdw>
            </a:effectLst>
          </c:spPr>
          <c:invertIfNegative val="0"/>
          <c:dLbls>
            <c:delete val="1"/>
          </c:dLbls>
          <c:cat>
            <c:strLit>
              <c:ptCount val="6"/>
              <c:pt idx="0">
                <c:v>1GB</c:v>
              </c:pt>
              <c:pt idx="1">
                <c:v>2GB</c:v>
              </c:pt>
              <c:pt idx="2">
                <c:v>4GB</c:v>
              </c:pt>
              <c:pt idx="3">
                <c:v>8GB</c:v>
              </c:pt>
              <c:pt idx="4">
                <c:v>16GB</c:v>
              </c:pt>
              <c:pt idx="5">
                <c:v>24GB</c:v>
              </c:pt>
            </c:strLit>
          </c:cat>
          <c:val>
            <c:numLit>
              <c:formatCode>General</c:formatCode>
              <c:ptCount val="6"/>
              <c:pt idx="0">
                <c:v>10630.75</c:v>
              </c:pt>
              <c:pt idx="1">
                <c:v>10630.75</c:v>
              </c:pt>
              <c:pt idx="2">
                <c:v>10630.75</c:v>
              </c:pt>
              <c:pt idx="3">
                <c:v>10630.75</c:v>
              </c:pt>
              <c:pt idx="4">
                <c:v>10630.75</c:v>
              </c:pt>
              <c:pt idx="5">
                <c:v>10630.75</c:v>
              </c:pt>
            </c:numLit>
          </c:val>
          <c:extLst>
            <c:ext xmlns:c16="http://schemas.microsoft.com/office/drawing/2014/chart" uri="{C3380CC4-5D6E-409C-BE32-E72D297353CC}">
              <c16:uniqueId val="{00000000-1D9F-474F-A1B6-5A314EB34E81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1216131264"/>
        <c:axId val="1216133664"/>
      </c:barChar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6"/>
                <c:pt idx="0">
                  <c:v>1219.75</c:v>
                </c:pt>
                <c:pt idx="1">
                  <c:v>1061.5</c:v>
                </c:pt>
                <c:pt idx="2">
                  <c:v>683</c:v>
                </c:pt>
                <c:pt idx="3">
                  <c:v>280.75</c:v>
                </c:pt>
                <c:pt idx="4">
                  <c:v>97.25</c:v>
                </c:pt>
                <c:pt idx="5">
                  <c:v>86.75</c:v>
                </c:pt>
              </c:numLit>
            </c:plus>
            <c:minus>
              <c:numLit>
                <c:formatCode>General</c:formatCode>
                <c:ptCount val="6"/>
                <c:pt idx="0">
                  <c:v>1289.25</c:v>
                </c:pt>
                <c:pt idx="1">
                  <c:v>1207.5</c:v>
                </c:pt>
                <c:pt idx="2">
                  <c:v>816</c:v>
                </c:pt>
                <c:pt idx="3">
                  <c:v>274.25</c:v>
                </c:pt>
                <c:pt idx="4">
                  <c:v>159.75</c:v>
                </c:pt>
                <c:pt idx="5">
                  <c:v>91.25</c:v>
                </c:pt>
              </c:numLit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cat>
            <c:strLit>
              <c:ptCount val="6"/>
              <c:pt idx="0">
                <c:v>1GB</c:v>
              </c:pt>
              <c:pt idx="1">
                <c:v>2GB</c:v>
              </c:pt>
              <c:pt idx="2">
                <c:v>4GB</c:v>
              </c:pt>
              <c:pt idx="3">
                <c:v>8GB</c:v>
              </c:pt>
              <c:pt idx="4">
                <c:v>16GB</c:v>
              </c:pt>
              <c:pt idx="5">
                <c:v>24GB</c:v>
              </c:pt>
            </c:strLit>
          </c:cat>
          <c:val>
            <c:numLit>
              <c:formatCode>General</c:formatCode>
              <c:ptCount val="6"/>
              <c:pt idx="0">
                <c:v>11351.25</c:v>
              </c:pt>
              <c:pt idx="1">
                <c:v>11088.5</c:v>
              </c:pt>
              <c:pt idx="2">
                <c:v>10539</c:v>
              </c:pt>
              <c:pt idx="3">
                <c:v>3180.25</c:v>
              </c:pt>
              <c:pt idx="4">
                <c:v>2292.75</c:v>
              </c:pt>
              <c:pt idx="5">
                <c:v>2234.25</c:v>
              </c:pt>
            </c:numLit>
          </c:val>
          <c:extLst>
            <c:ext xmlns:c16="http://schemas.microsoft.com/office/drawing/2014/chart" uri="{C3380CC4-5D6E-409C-BE32-E72D297353CC}">
              <c16:uniqueId val="{00000001-1D9F-474F-A1B6-5A314EB34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288329247"/>
        <c:axId val="1288309567"/>
      </c:barChart>
      <c:catAx>
        <c:axId val="1216131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GB of RAM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2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133664"/>
        <c:crosses val="autoZero"/>
        <c:auto val="1"/>
        <c:lblAlgn val="ctr"/>
        <c:lblOffset val="100"/>
        <c:noMultiLvlLbl val="0"/>
      </c:catAx>
      <c:valAx>
        <c:axId val="1216133664"/>
        <c:scaling>
          <c:orientation val="minMax"/>
          <c:max val="14000"/>
        </c:scaling>
        <c:delete val="1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in Seconds (Lower is better)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216131264"/>
        <c:crosses val="autoZero"/>
        <c:crossBetween val="between"/>
      </c:valAx>
      <c:valAx>
        <c:axId val="1288309567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crossAx val="1288329247"/>
        <c:crosses val="max"/>
        <c:crossBetween val="between"/>
      </c:valAx>
      <c:catAx>
        <c:axId val="12883292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883095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196664</xdr:colOff>
      <xdr:row>17</xdr:row>
      <xdr:rowOff>169767</xdr:rowOff>
    </xdr:from>
    <xdr:to>
      <xdr:col>7</xdr:col>
      <xdr:colOff>624389</xdr:colOff>
      <xdr:row>36</xdr:row>
      <xdr:rowOff>150267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8A0E03-4BD9-68A8-85B2-5ACD767BFD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409575</xdr:colOff>
      <xdr:row>17</xdr:row>
      <xdr:rowOff>172008</xdr:rowOff>
    </xdr:from>
    <xdr:to>
      <xdr:col>14</xdr:col>
      <xdr:colOff>723000</xdr:colOff>
      <xdr:row>36</xdr:row>
      <xdr:rowOff>152508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FBBB12-7B80-0433-6879-EE18A3FA0C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200024</xdr:colOff>
      <xdr:row>36</xdr:row>
      <xdr:rowOff>180974</xdr:rowOff>
    </xdr:from>
    <xdr:to>
      <xdr:col>14</xdr:col>
      <xdr:colOff>718199</xdr:colOff>
      <xdr:row>59</xdr:row>
      <xdr:rowOff>119474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2E4DF1A0-15AB-4889-B33B-536910742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152399</xdr:rowOff>
    </xdr:from>
    <xdr:to>
      <xdr:col>10</xdr:col>
      <xdr:colOff>589650</xdr:colOff>
      <xdr:row>37</xdr:row>
      <xdr:rowOff>132899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D8E563-0172-46C2-99CF-758C46D00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9525</xdr:colOff>
      <xdr:row>19</xdr:row>
      <xdr:rowOff>0</xdr:rowOff>
    </xdr:from>
    <xdr:to>
      <xdr:col>16</xdr:col>
      <xdr:colOff>542025</xdr:colOff>
      <xdr:row>37</xdr:row>
      <xdr:rowOff>171000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2C504E-D138-477E-A678-2EDBD5C9F5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95250</xdr:colOff>
      <xdr:row>38</xdr:row>
      <xdr:rowOff>161925</xdr:rowOff>
    </xdr:from>
    <xdr:to>
      <xdr:col>16</xdr:col>
      <xdr:colOff>603900</xdr:colOff>
      <xdr:row>61</xdr:row>
      <xdr:rowOff>100425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CA3BD2-9A14-4D28-A921-2761954F56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9</xdr:row>
      <xdr:rowOff>19049</xdr:rowOff>
    </xdr:from>
    <xdr:to>
      <xdr:col>11</xdr:col>
      <xdr:colOff>332475</xdr:colOff>
      <xdr:row>27</xdr:row>
      <xdr:rowOff>190049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E3C033-10D5-4074-8AC5-8E7DA93D0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9525</xdr:colOff>
      <xdr:row>9</xdr:row>
      <xdr:rowOff>19050</xdr:rowOff>
    </xdr:from>
    <xdr:to>
      <xdr:col>23</xdr:col>
      <xdr:colOff>503925</xdr:colOff>
      <xdr:row>27</xdr:row>
      <xdr:rowOff>190050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E94FB5-C53D-4A64-9B51-FAA60AA546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609598</xdr:colOff>
      <xdr:row>11</xdr:row>
      <xdr:rowOff>185737</xdr:rowOff>
    </xdr:from>
    <xdr:to>
      <xdr:col>16</xdr:col>
      <xdr:colOff>52798</xdr:colOff>
      <xdr:row>27</xdr:row>
      <xdr:rowOff>17737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0D80625-8645-40AF-BC61-E44532820C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600075</xdr:colOff>
      <xdr:row>12</xdr:row>
      <xdr:rowOff>0</xdr:rowOff>
    </xdr:from>
    <xdr:to>
      <xdr:col>24</xdr:col>
      <xdr:colOff>43275</xdr:colOff>
      <xdr:row>27</xdr:row>
      <xdr:rowOff>22500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1B0922A-E91D-4791-B5CA-AF7B0A73A6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12</xdr:row>
      <xdr:rowOff>0</xdr:rowOff>
    </xdr:from>
    <xdr:to>
      <xdr:col>8</xdr:col>
      <xdr:colOff>52800</xdr:colOff>
      <xdr:row>27</xdr:row>
      <xdr:rowOff>22500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DFB7CB5-3D41-4D56-BF35-8871297EEF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AD992C-5527-4D5C-8CD8-1C32F345B196}" name="CoreParsedData" displayName="CoreParsedData" ref="A1:H157" totalsRowShown="0">
  <autoFilter ref="A1:H157" xr:uid="{22AD992C-5527-4D5C-8CD8-1C32F345B196}"/>
  <sortState xmlns:xlrd2="http://schemas.microsoft.com/office/spreadsheetml/2017/richdata2" ref="A2:H157">
    <sortCondition ref="E79:E235"/>
  </sortState>
  <tableColumns count="8">
    <tableColumn id="1" xr3:uid="{ACA9C829-55D6-4C13-A1CE-704974F04D89}" name="Agents"/>
    <tableColumn id="2" xr3:uid="{13A5EC17-9C51-45B0-9B10-CA581DD34B6A}" name="Cores/Agent"/>
    <tableColumn id="3" xr3:uid="{F518C953-35A2-419A-BA46-FAD5088AAA77}" name="Group"/>
    <tableColumn id="4" xr3:uid="{98748B2E-93B0-41D9-96A9-A1E462F0F655}" name="Run"/>
    <tableColumn id="5" xr3:uid="{CABDCFB0-B055-4F4E-BE95-D70A881101B9}" name="Target"/>
    <tableColumn id="6" xr3:uid="{62D3AFAA-829F-441D-85DA-2F95042F5133}" name="Total Cores"/>
    <tableColumn id="7" xr3:uid="{95D971F7-5627-40F7-95C6-102C0C9AADE2}" name="UBAVisualizer (Session) Time" dataDxfId="1"/>
    <tableColumn id="8" xr3:uid="{46BA10D1-4988-430C-9A0F-4B4F82D0EB56}" name="VisualStudio Time" dataDxfId="0"/>
  </tableColumns>
  <tableStyleInfo name="TableStyleDark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2FE634-26EF-4FAE-AC4C-4963874F84E0}" name="RAMParsedData" displayName="RAMParsedData" ref="J1:O73" totalsRowShown="0">
  <autoFilter ref="J1:O73" xr:uid="{F62FE634-26EF-4FAE-AC4C-4963874F84E0}"/>
  <sortState xmlns:xlrd2="http://schemas.microsoft.com/office/spreadsheetml/2017/richdata2" ref="J2:O73">
    <sortCondition ref="M79:M151"/>
  </sortState>
  <tableColumns count="6">
    <tableColumn id="1" xr3:uid="{9DE94F67-82EB-402C-86F9-8A35DC9C81E3}" name="RAM"/>
    <tableColumn id="2" xr3:uid="{054361B4-114B-4EC4-AE6C-3D17604E21CC}" name="Group"/>
    <tableColumn id="3" xr3:uid="{58CC51E1-CECA-4D7E-90BB-093B28D69C5F}" name="Run"/>
    <tableColumn id="4" xr3:uid="{4BCCBD5A-09D7-4F68-B674-36C334DB9078}" name="Target"/>
    <tableColumn id="5" xr3:uid="{4CD86EA8-7B7D-4510-A972-D19A41E2EA3C}" name="UBAVisualizer (Session) Time"/>
    <tableColumn id="6" xr3:uid="{D6D6E11E-814F-4D88-8075-830BBA33FE3C}" name="VisualStudio Time"/>
  </tableColumns>
  <tableStyleInfo name="TableStyleDark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F77"/>
  <sheetViews>
    <sheetView workbookViewId="0">
      <selection activeCell="V66" sqref="V66"/>
    </sheetView>
  </sheetViews>
  <sheetFormatPr defaultRowHeight="15" x14ac:dyDescent="0.25"/>
  <sheetData>
    <row r="1" spans="1:32" ht="15.75" thickBot="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L1" s="1"/>
      <c r="M1" s="2" t="s">
        <v>0</v>
      </c>
      <c r="N1" s="2" t="s">
        <v>1</v>
      </c>
      <c r="O1" s="2" t="s">
        <v>2</v>
      </c>
      <c r="P1" s="2" t="s">
        <v>3</v>
      </c>
      <c r="Q1" s="2" t="s">
        <v>4</v>
      </c>
      <c r="R1" s="2" t="s">
        <v>5</v>
      </c>
      <c r="S1" s="2" t="s">
        <v>6</v>
      </c>
      <c r="T1" s="2" t="s">
        <v>7</v>
      </c>
      <c r="U1" s="2" t="s">
        <v>8</v>
      </c>
      <c r="W1" s="1"/>
      <c r="X1" s="2" t="s">
        <v>0</v>
      </c>
      <c r="Y1" s="2" t="s">
        <v>1</v>
      </c>
      <c r="Z1" s="2" t="s">
        <v>2</v>
      </c>
      <c r="AA1" s="2" t="s">
        <v>3</v>
      </c>
      <c r="AB1" s="2" t="s">
        <v>4</v>
      </c>
      <c r="AC1" s="2" t="s">
        <v>5</v>
      </c>
      <c r="AD1" s="2" t="s">
        <v>6</v>
      </c>
      <c r="AE1" s="2" t="s">
        <v>7</v>
      </c>
      <c r="AF1" s="2" t="s">
        <v>8</v>
      </c>
    </row>
    <row r="2" spans="1:32" x14ac:dyDescent="0.25">
      <c r="A2" s="55" t="s">
        <v>9</v>
      </c>
      <c r="B2" s="3">
        <v>32</v>
      </c>
      <c r="C2" s="3">
        <v>1</v>
      </c>
      <c r="D2" s="3">
        <v>1</v>
      </c>
      <c r="E2" s="3" t="s">
        <v>10</v>
      </c>
      <c r="F2" s="3">
        <v>7914</v>
      </c>
      <c r="G2" s="3">
        <v>32</v>
      </c>
      <c r="H2" s="3" t="s">
        <v>11</v>
      </c>
      <c r="I2" s="4" t="s">
        <v>12</v>
      </c>
      <c r="J2" s="3" t="s">
        <v>13</v>
      </c>
      <c r="L2" s="55" t="s">
        <v>9</v>
      </c>
      <c r="M2" s="3">
        <v>32</v>
      </c>
      <c r="N2" s="3">
        <v>1</v>
      </c>
      <c r="O2" s="3">
        <v>1</v>
      </c>
      <c r="P2" s="3" t="s">
        <v>14</v>
      </c>
      <c r="Q2" s="3">
        <v>501</v>
      </c>
      <c r="R2" s="3">
        <v>32</v>
      </c>
      <c r="S2" s="3" t="s">
        <v>15</v>
      </c>
      <c r="T2" s="4" t="s">
        <v>16</v>
      </c>
      <c r="U2" s="3" t="s">
        <v>17</v>
      </c>
      <c r="W2" s="55" t="s">
        <v>9</v>
      </c>
      <c r="X2" s="3">
        <v>32</v>
      </c>
      <c r="Y2" s="3">
        <v>1</v>
      </c>
      <c r="Z2" s="3">
        <v>1</v>
      </c>
      <c r="AA2" s="3" t="s">
        <v>18</v>
      </c>
      <c r="AB2" s="3">
        <v>65</v>
      </c>
      <c r="AC2" s="3">
        <v>32</v>
      </c>
      <c r="AD2" s="3" t="s">
        <v>19</v>
      </c>
      <c r="AE2" s="4" t="s">
        <v>20</v>
      </c>
      <c r="AF2" s="3" t="s">
        <v>21</v>
      </c>
    </row>
    <row r="3" spans="1:32" x14ac:dyDescent="0.25">
      <c r="A3" s="55"/>
      <c r="B3" s="5">
        <v>32</v>
      </c>
      <c r="C3" s="5">
        <v>2</v>
      </c>
      <c r="D3" s="5">
        <v>1</v>
      </c>
      <c r="E3" s="5" t="s">
        <v>10</v>
      </c>
      <c r="F3" s="5">
        <v>7914</v>
      </c>
      <c r="G3" s="5">
        <v>32</v>
      </c>
      <c r="H3" s="5" t="s">
        <v>22</v>
      </c>
      <c r="I3" s="6" t="s">
        <v>23</v>
      </c>
      <c r="J3" s="5" t="s">
        <v>24</v>
      </c>
      <c r="L3" s="55"/>
      <c r="M3" s="5">
        <v>32</v>
      </c>
      <c r="N3" s="5">
        <v>2</v>
      </c>
      <c r="O3" s="5">
        <v>1</v>
      </c>
      <c r="P3" s="5" t="s">
        <v>14</v>
      </c>
      <c r="Q3" s="5">
        <v>501</v>
      </c>
      <c r="R3" s="5">
        <v>32</v>
      </c>
      <c r="S3" s="5" t="s">
        <v>25</v>
      </c>
      <c r="T3" s="6" t="s">
        <v>26</v>
      </c>
      <c r="U3" s="5" t="s">
        <v>27</v>
      </c>
      <c r="W3" s="55"/>
      <c r="X3" s="5">
        <v>32</v>
      </c>
      <c r="Y3" s="5">
        <v>2</v>
      </c>
      <c r="Z3" s="5">
        <v>1</v>
      </c>
      <c r="AA3" s="5" t="s">
        <v>18</v>
      </c>
      <c r="AB3" s="5">
        <v>65</v>
      </c>
      <c r="AC3" s="5">
        <v>32</v>
      </c>
      <c r="AD3" s="5" t="s">
        <v>28</v>
      </c>
      <c r="AE3" s="6" t="s">
        <v>29</v>
      </c>
      <c r="AF3" s="5" t="s">
        <v>30</v>
      </c>
    </row>
    <row r="4" spans="1:32" x14ac:dyDescent="0.25">
      <c r="A4" s="55"/>
      <c r="B4" s="7">
        <v>32</v>
      </c>
      <c r="C4" s="7">
        <v>1</v>
      </c>
      <c r="D4" s="7">
        <v>2</v>
      </c>
      <c r="E4" s="7" t="s">
        <v>10</v>
      </c>
      <c r="F4" s="7">
        <v>7914</v>
      </c>
      <c r="G4" s="7">
        <v>32</v>
      </c>
      <c r="H4" s="7" t="s">
        <v>31</v>
      </c>
      <c r="I4" s="7" t="s">
        <v>32</v>
      </c>
      <c r="J4" s="7" t="s">
        <v>33</v>
      </c>
      <c r="L4" s="55"/>
      <c r="M4" s="7">
        <v>32</v>
      </c>
      <c r="N4" s="7">
        <v>1</v>
      </c>
      <c r="O4" s="7">
        <v>2</v>
      </c>
      <c r="P4" s="7" t="s">
        <v>14</v>
      </c>
      <c r="Q4" s="7">
        <v>501</v>
      </c>
      <c r="R4" s="7">
        <v>32</v>
      </c>
      <c r="S4" s="7" t="s">
        <v>34</v>
      </c>
      <c r="T4" s="7" t="s">
        <v>35</v>
      </c>
      <c r="U4" s="7" t="s">
        <v>36</v>
      </c>
      <c r="W4" s="55"/>
      <c r="X4" s="7">
        <v>32</v>
      </c>
      <c r="Y4" s="7">
        <v>1</v>
      </c>
      <c r="Z4" s="7">
        <v>2</v>
      </c>
      <c r="AA4" s="7" t="s">
        <v>18</v>
      </c>
      <c r="AB4" s="7">
        <v>65</v>
      </c>
      <c r="AC4" s="7">
        <v>32</v>
      </c>
      <c r="AD4" s="7" t="s">
        <v>37</v>
      </c>
      <c r="AE4" s="7" t="s">
        <v>38</v>
      </c>
      <c r="AF4" s="7" t="s">
        <v>39</v>
      </c>
    </row>
    <row r="5" spans="1:32" x14ac:dyDescent="0.25">
      <c r="A5" s="55"/>
      <c r="B5" s="5">
        <v>32</v>
      </c>
      <c r="C5" s="5">
        <v>2</v>
      </c>
      <c r="D5" s="5">
        <v>2</v>
      </c>
      <c r="E5" s="5" t="s">
        <v>10</v>
      </c>
      <c r="F5" s="5">
        <v>7914</v>
      </c>
      <c r="G5" s="5">
        <v>32</v>
      </c>
      <c r="H5" s="5" t="s">
        <v>40</v>
      </c>
      <c r="I5" s="5" t="s">
        <v>41</v>
      </c>
      <c r="J5" s="5" t="s">
        <v>42</v>
      </c>
      <c r="L5" s="55"/>
      <c r="M5" s="5">
        <v>32</v>
      </c>
      <c r="N5" s="5">
        <v>2</v>
      </c>
      <c r="O5" s="5">
        <v>2</v>
      </c>
      <c r="P5" s="5" t="s">
        <v>14</v>
      </c>
      <c r="Q5" s="5">
        <v>501</v>
      </c>
      <c r="R5" s="5">
        <v>32</v>
      </c>
      <c r="S5" s="5" t="s">
        <v>43</v>
      </c>
      <c r="T5" s="5" t="s">
        <v>44</v>
      </c>
      <c r="U5" s="5" t="s">
        <v>45</v>
      </c>
      <c r="W5" s="55"/>
      <c r="X5" s="5">
        <v>32</v>
      </c>
      <c r="Y5" s="5">
        <v>2</v>
      </c>
      <c r="Z5" s="5">
        <v>2</v>
      </c>
      <c r="AA5" s="5" t="s">
        <v>18</v>
      </c>
      <c r="AB5" s="5">
        <v>65</v>
      </c>
      <c r="AC5" s="5">
        <v>32</v>
      </c>
      <c r="AD5" s="5" t="s">
        <v>46</v>
      </c>
      <c r="AE5" s="5" t="s">
        <v>47</v>
      </c>
      <c r="AF5" s="5" t="s">
        <v>48</v>
      </c>
    </row>
    <row r="6" spans="1:32" x14ac:dyDescent="0.25">
      <c r="A6" s="55"/>
      <c r="B6" s="7">
        <v>16</v>
      </c>
      <c r="C6" s="7">
        <v>1</v>
      </c>
      <c r="D6" s="7">
        <v>1</v>
      </c>
      <c r="E6" s="7" t="s">
        <v>10</v>
      </c>
      <c r="F6" s="7">
        <v>7914</v>
      </c>
      <c r="G6" s="7">
        <v>16</v>
      </c>
      <c r="H6" s="7" t="s">
        <v>49</v>
      </c>
      <c r="I6" s="7" t="s">
        <v>50</v>
      </c>
      <c r="J6" s="7" t="s">
        <v>51</v>
      </c>
      <c r="L6" s="55"/>
      <c r="M6" s="7">
        <v>16</v>
      </c>
      <c r="N6" s="7">
        <v>1</v>
      </c>
      <c r="O6" s="7">
        <v>1</v>
      </c>
      <c r="P6" s="7" t="s">
        <v>14</v>
      </c>
      <c r="Q6" s="7">
        <v>501</v>
      </c>
      <c r="R6" s="7">
        <v>16</v>
      </c>
      <c r="S6" s="7" t="s">
        <v>52</v>
      </c>
      <c r="T6" s="7" t="s">
        <v>53</v>
      </c>
      <c r="U6" s="7" t="s">
        <v>54</v>
      </c>
      <c r="W6" s="55"/>
      <c r="X6" s="7">
        <v>16</v>
      </c>
      <c r="Y6" s="7">
        <v>1</v>
      </c>
      <c r="Z6" s="7">
        <v>1</v>
      </c>
      <c r="AA6" s="7" t="s">
        <v>18</v>
      </c>
      <c r="AB6" s="7">
        <v>65</v>
      </c>
      <c r="AC6" s="7">
        <v>16</v>
      </c>
      <c r="AD6" s="7" t="s">
        <v>55</v>
      </c>
      <c r="AE6" s="7" t="s">
        <v>56</v>
      </c>
      <c r="AF6" s="7" t="s">
        <v>57</v>
      </c>
    </row>
    <row r="7" spans="1:32" x14ac:dyDescent="0.25">
      <c r="A7" s="55"/>
      <c r="B7" s="5">
        <v>16</v>
      </c>
      <c r="C7" s="5">
        <v>2</v>
      </c>
      <c r="D7" s="5">
        <v>1</v>
      </c>
      <c r="E7" s="5" t="s">
        <v>10</v>
      </c>
      <c r="F7" s="5">
        <v>7914</v>
      </c>
      <c r="G7" s="5">
        <v>16</v>
      </c>
      <c r="H7" s="5" t="s">
        <v>58</v>
      </c>
      <c r="I7" s="5" t="s">
        <v>59</v>
      </c>
      <c r="J7" s="5" t="s">
        <v>60</v>
      </c>
      <c r="L7" s="55"/>
      <c r="M7" s="5">
        <v>16</v>
      </c>
      <c r="N7" s="5">
        <v>2</v>
      </c>
      <c r="O7" s="5">
        <v>1</v>
      </c>
      <c r="P7" s="5" t="s">
        <v>14</v>
      </c>
      <c r="Q7" s="5">
        <v>501</v>
      </c>
      <c r="R7" s="5">
        <v>16</v>
      </c>
      <c r="S7" s="5" t="s">
        <v>61</v>
      </c>
      <c r="T7" s="5" t="s">
        <v>62</v>
      </c>
      <c r="U7" s="5" t="s">
        <v>63</v>
      </c>
      <c r="W7" s="55"/>
      <c r="X7" s="5">
        <v>16</v>
      </c>
      <c r="Y7" s="5">
        <v>2</v>
      </c>
      <c r="Z7" s="5">
        <v>1</v>
      </c>
      <c r="AA7" s="5" t="s">
        <v>18</v>
      </c>
      <c r="AB7" s="5">
        <v>65</v>
      </c>
      <c r="AC7" s="5">
        <v>16</v>
      </c>
      <c r="AD7" s="5" t="s">
        <v>64</v>
      </c>
      <c r="AE7" s="5" t="s">
        <v>65</v>
      </c>
      <c r="AF7" s="5" t="s">
        <v>66</v>
      </c>
    </row>
    <row r="8" spans="1:32" x14ac:dyDescent="0.25">
      <c r="A8" s="55"/>
      <c r="B8" s="7">
        <v>16</v>
      </c>
      <c r="C8" s="7">
        <v>1</v>
      </c>
      <c r="D8" s="7">
        <v>2</v>
      </c>
      <c r="E8" s="7" t="s">
        <v>10</v>
      </c>
      <c r="F8" s="7">
        <v>7914</v>
      </c>
      <c r="G8" s="7">
        <v>16</v>
      </c>
      <c r="H8" s="7" t="s">
        <v>67</v>
      </c>
      <c r="I8" s="7" t="s">
        <v>68</v>
      </c>
      <c r="J8" s="7" t="s">
        <v>69</v>
      </c>
      <c r="L8" s="55"/>
      <c r="M8" s="7">
        <v>16</v>
      </c>
      <c r="N8" s="7">
        <v>1</v>
      </c>
      <c r="O8" s="7">
        <v>2</v>
      </c>
      <c r="P8" s="7" t="s">
        <v>14</v>
      </c>
      <c r="Q8" s="7">
        <v>501</v>
      </c>
      <c r="R8" s="7">
        <v>16</v>
      </c>
      <c r="S8" s="7" t="s">
        <v>70</v>
      </c>
      <c r="T8" s="7" t="s">
        <v>71</v>
      </c>
      <c r="U8" s="7" t="s">
        <v>72</v>
      </c>
      <c r="W8" s="55"/>
      <c r="X8" s="7">
        <v>16</v>
      </c>
      <c r="Y8" s="7">
        <v>1</v>
      </c>
      <c r="Z8" s="7">
        <v>2</v>
      </c>
      <c r="AA8" s="7" t="s">
        <v>18</v>
      </c>
      <c r="AB8" s="7">
        <v>65</v>
      </c>
      <c r="AC8" s="7">
        <v>16</v>
      </c>
      <c r="AD8" s="7" t="s">
        <v>46</v>
      </c>
      <c r="AE8" s="7" t="s">
        <v>73</v>
      </c>
      <c r="AF8" s="7" t="s">
        <v>74</v>
      </c>
    </row>
    <row r="9" spans="1:32" x14ac:dyDescent="0.25">
      <c r="A9" s="55"/>
      <c r="B9" s="5">
        <v>16</v>
      </c>
      <c r="C9" s="5">
        <v>2</v>
      </c>
      <c r="D9" s="5">
        <v>2</v>
      </c>
      <c r="E9" s="5" t="s">
        <v>10</v>
      </c>
      <c r="F9" s="5">
        <v>7914</v>
      </c>
      <c r="G9" s="5">
        <v>16</v>
      </c>
      <c r="H9" s="5" t="s">
        <v>75</v>
      </c>
      <c r="I9" s="5" t="s">
        <v>76</v>
      </c>
      <c r="J9" s="5" t="s">
        <v>77</v>
      </c>
      <c r="L9" s="55"/>
      <c r="M9" s="5">
        <v>16</v>
      </c>
      <c r="N9" s="5">
        <v>2</v>
      </c>
      <c r="O9" s="5">
        <v>2</v>
      </c>
      <c r="P9" s="5" t="s">
        <v>14</v>
      </c>
      <c r="Q9" s="5">
        <v>501</v>
      </c>
      <c r="R9" s="5">
        <v>16</v>
      </c>
      <c r="S9" s="5" t="s">
        <v>78</v>
      </c>
      <c r="T9" s="5" t="s">
        <v>79</v>
      </c>
      <c r="U9" s="5" t="s">
        <v>80</v>
      </c>
      <c r="W9" s="55"/>
      <c r="X9" s="5">
        <v>16</v>
      </c>
      <c r="Y9" s="5">
        <v>2</v>
      </c>
      <c r="Z9" s="5">
        <v>2</v>
      </c>
      <c r="AA9" s="5" t="s">
        <v>18</v>
      </c>
      <c r="AB9" s="5">
        <v>65</v>
      </c>
      <c r="AC9" s="5">
        <v>16</v>
      </c>
      <c r="AD9" s="5" t="s">
        <v>81</v>
      </c>
      <c r="AE9" s="5" t="s">
        <v>82</v>
      </c>
      <c r="AF9" s="5" t="s">
        <v>83</v>
      </c>
    </row>
    <row r="10" spans="1:32" x14ac:dyDescent="0.25">
      <c r="A10" s="55"/>
      <c r="B10" s="7">
        <v>64</v>
      </c>
      <c r="C10" s="7">
        <v>1</v>
      </c>
      <c r="D10" s="7">
        <v>1</v>
      </c>
      <c r="E10" s="7" t="s">
        <v>10</v>
      </c>
      <c r="F10" s="7">
        <v>7914</v>
      </c>
      <c r="G10" s="7">
        <v>64</v>
      </c>
      <c r="H10" s="7" t="s">
        <v>84</v>
      </c>
      <c r="I10" s="7" t="s">
        <v>85</v>
      </c>
      <c r="J10" s="7" t="s">
        <v>86</v>
      </c>
      <c r="L10" s="55"/>
      <c r="M10" s="7">
        <v>64</v>
      </c>
      <c r="N10" s="7">
        <v>1</v>
      </c>
      <c r="O10" s="7">
        <v>1</v>
      </c>
      <c r="P10" s="7" t="s">
        <v>14</v>
      </c>
      <c r="Q10" s="7">
        <v>501</v>
      </c>
      <c r="R10" s="7">
        <v>64</v>
      </c>
      <c r="S10" s="7" t="s">
        <v>87</v>
      </c>
      <c r="T10" s="7" t="s">
        <v>88</v>
      </c>
      <c r="U10" s="7" t="s">
        <v>89</v>
      </c>
      <c r="W10" s="55"/>
      <c r="X10" s="7">
        <v>64</v>
      </c>
      <c r="Y10" s="7">
        <v>1</v>
      </c>
      <c r="Z10" s="7">
        <v>1</v>
      </c>
      <c r="AA10" s="7" t="s">
        <v>18</v>
      </c>
      <c r="AB10" s="7">
        <v>65</v>
      </c>
      <c r="AC10" s="7">
        <v>64</v>
      </c>
      <c r="AD10" s="7" t="s">
        <v>38</v>
      </c>
      <c r="AE10" s="7" t="s">
        <v>90</v>
      </c>
      <c r="AF10" s="7" t="s">
        <v>91</v>
      </c>
    </row>
    <row r="11" spans="1:32" x14ac:dyDescent="0.25">
      <c r="A11" s="55"/>
      <c r="B11" s="5">
        <v>64</v>
      </c>
      <c r="C11" s="5">
        <v>2</v>
      </c>
      <c r="D11" s="5">
        <v>1</v>
      </c>
      <c r="E11" s="5" t="s">
        <v>10</v>
      </c>
      <c r="F11" s="5">
        <v>7914</v>
      </c>
      <c r="G11" s="5">
        <v>64</v>
      </c>
      <c r="H11" s="5" t="s">
        <v>92</v>
      </c>
      <c r="I11" s="5" t="s">
        <v>93</v>
      </c>
      <c r="J11" s="8" t="s">
        <v>94</v>
      </c>
      <c r="L11" s="55"/>
      <c r="M11" s="5">
        <v>64</v>
      </c>
      <c r="N11" s="5">
        <v>2</v>
      </c>
      <c r="O11" s="5">
        <v>1</v>
      </c>
      <c r="P11" s="5" t="s">
        <v>14</v>
      </c>
      <c r="Q11" s="5">
        <v>501</v>
      </c>
      <c r="R11" s="5">
        <v>64</v>
      </c>
      <c r="S11" s="5" t="s">
        <v>95</v>
      </c>
      <c r="T11" s="5" t="s">
        <v>96</v>
      </c>
      <c r="U11" s="5" t="s">
        <v>97</v>
      </c>
      <c r="W11" s="55"/>
      <c r="X11" s="5">
        <v>64</v>
      </c>
      <c r="Y11" s="5">
        <v>2</v>
      </c>
      <c r="Z11" s="5">
        <v>1</v>
      </c>
      <c r="AA11" s="5" t="s">
        <v>18</v>
      </c>
      <c r="AB11" s="5">
        <v>65</v>
      </c>
      <c r="AC11" s="5">
        <v>64</v>
      </c>
      <c r="AD11" s="5" t="s">
        <v>98</v>
      </c>
      <c r="AE11" s="5" t="s">
        <v>99</v>
      </c>
      <c r="AF11" s="5" t="s">
        <v>100</v>
      </c>
    </row>
    <row r="12" spans="1:32" x14ac:dyDescent="0.25">
      <c r="A12" s="55"/>
      <c r="B12" s="7">
        <v>64</v>
      </c>
      <c r="C12" s="7">
        <v>1</v>
      </c>
      <c r="D12" s="7">
        <v>2</v>
      </c>
      <c r="E12" s="7" t="s">
        <v>10</v>
      </c>
      <c r="F12" s="7">
        <v>7914</v>
      </c>
      <c r="G12" s="7">
        <v>64</v>
      </c>
      <c r="H12" s="7" t="s">
        <v>101</v>
      </c>
      <c r="I12" s="7" t="s">
        <v>102</v>
      </c>
      <c r="J12" s="7" t="s">
        <v>103</v>
      </c>
      <c r="L12" s="55"/>
      <c r="M12" s="7">
        <v>64</v>
      </c>
      <c r="N12" s="7">
        <v>1</v>
      </c>
      <c r="O12" s="7">
        <v>2</v>
      </c>
      <c r="P12" s="7" t="s">
        <v>14</v>
      </c>
      <c r="Q12" s="7">
        <v>501</v>
      </c>
      <c r="R12" s="7">
        <v>64</v>
      </c>
      <c r="S12" s="7" t="s">
        <v>104</v>
      </c>
      <c r="T12" s="7" t="s">
        <v>105</v>
      </c>
      <c r="U12" s="7" t="s">
        <v>106</v>
      </c>
      <c r="W12" s="55"/>
      <c r="X12" s="7">
        <v>64</v>
      </c>
      <c r="Y12" s="7">
        <v>1</v>
      </c>
      <c r="Z12" s="7">
        <v>2</v>
      </c>
      <c r="AA12" s="7" t="s">
        <v>18</v>
      </c>
      <c r="AB12" s="7">
        <v>65</v>
      </c>
      <c r="AC12" s="7">
        <v>64</v>
      </c>
      <c r="AD12" s="7" t="s">
        <v>19</v>
      </c>
      <c r="AE12" s="7" t="s">
        <v>107</v>
      </c>
      <c r="AF12" s="7" t="s">
        <v>108</v>
      </c>
    </row>
    <row r="13" spans="1:32" x14ac:dyDescent="0.25">
      <c r="A13" s="55"/>
      <c r="B13" s="5">
        <v>64</v>
      </c>
      <c r="C13" s="5">
        <v>2</v>
      </c>
      <c r="D13" s="5">
        <v>2</v>
      </c>
      <c r="E13" s="5" t="s">
        <v>10</v>
      </c>
      <c r="F13" s="5">
        <v>7914</v>
      </c>
      <c r="G13" s="5">
        <v>64</v>
      </c>
      <c r="H13" s="5" t="s">
        <v>109</v>
      </c>
      <c r="I13" s="5" t="s">
        <v>110</v>
      </c>
      <c r="J13" s="8" t="s">
        <v>111</v>
      </c>
      <c r="L13" s="55"/>
      <c r="M13" s="5">
        <v>64</v>
      </c>
      <c r="N13" s="5">
        <v>2</v>
      </c>
      <c r="O13" s="5">
        <v>2</v>
      </c>
      <c r="P13" s="5" t="s">
        <v>14</v>
      </c>
      <c r="Q13" s="5">
        <v>501</v>
      </c>
      <c r="R13" s="5">
        <v>64</v>
      </c>
      <c r="S13" s="5" t="s">
        <v>112</v>
      </c>
      <c r="T13" s="5" t="s">
        <v>113</v>
      </c>
      <c r="U13" s="5" t="s">
        <v>114</v>
      </c>
      <c r="W13" s="55"/>
      <c r="X13" s="5">
        <v>64</v>
      </c>
      <c r="Y13" s="5">
        <v>2</v>
      </c>
      <c r="Z13" s="5">
        <v>2</v>
      </c>
      <c r="AA13" s="5" t="s">
        <v>18</v>
      </c>
      <c r="AB13" s="5">
        <v>65</v>
      </c>
      <c r="AC13" s="5">
        <v>64</v>
      </c>
      <c r="AD13" s="5" t="s">
        <v>115</v>
      </c>
      <c r="AE13" s="5" t="s">
        <v>116</v>
      </c>
      <c r="AF13" s="5" t="s">
        <v>117</v>
      </c>
    </row>
    <row r="14" spans="1:32" x14ac:dyDescent="0.25">
      <c r="A14" s="55"/>
      <c r="B14" s="7">
        <v>8</v>
      </c>
      <c r="C14" s="7">
        <v>1</v>
      </c>
      <c r="D14" s="7">
        <v>1</v>
      </c>
      <c r="E14" s="7" t="s">
        <v>10</v>
      </c>
      <c r="F14" s="7">
        <v>7914</v>
      </c>
      <c r="G14" s="7">
        <v>8</v>
      </c>
      <c r="H14" s="7" t="s">
        <v>118</v>
      </c>
      <c r="I14" s="7" t="s">
        <v>119</v>
      </c>
      <c r="J14" s="7" t="s">
        <v>120</v>
      </c>
      <c r="L14" s="55"/>
      <c r="M14" s="7">
        <v>8</v>
      </c>
      <c r="N14" s="7">
        <v>1</v>
      </c>
      <c r="O14" s="7">
        <v>1</v>
      </c>
      <c r="P14" s="7" t="s">
        <v>14</v>
      </c>
      <c r="Q14" s="7">
        <v>501</v>
      </c>
      <c r="R14" s="7">
        <v>8</v>
      </c>
      <c r="S14" s="7" t="s">
        <v>121</v>
      </c>
      <c r="T14" s="7" t="s">
        <v>122</v>
      </c>
      <c r="U14" s="7" t="s">
        <v>123</v>
      </c>
      <c r="W14" s="55"/>
      <c r="X14" s="7">
        <v>8</v>
      </c>
      <c r="Y14" s="7">
        <v>1</v>
      </c>
      <c r="Z14" s="7">
        <v>1</v>
      </c>
      <c r="AA14" s="7" t="s">
        <v>18</v>
      </c>
      <c r="AB14" s="7">
        <v>65</v>
      </c>
      <c r="AC14" s="7">
        <v>8</v>
      </c>
      <c r="AD14" s="7" t="s">
        <v>104</v>
      </c>
      <c r="AE14" s="7" t="s">
        <v>113</v>
      </c>
      <c r="AF14" s="7" t="s">
        <v>124</v>
      </c>
    </row>
    <row r="15" spans="1:32" x14ac:dyDescent="0.25">
      <c r="A15" s="55"/>
      <c r="B15" s="5">
        <v>8</v>
      </c>
      <c r="C15" s="5">
        <v>2</v>
      </c>
      <c r="D15" s="5">
        <v>1</v>
      </c>
      <c r="E15" s="5" t="s">
        <v>10</v>
      </c>
      <c r="F15" s="5">
        <v>7914</v>
      </c>
      <c r="G15" s="5">
        <v>8</v>
      </c>
      <c r="H15" s="5" t="s">
        <v>125</v>
      </c>
      <c r="I15" s="5" t="s">
        <v>126</v>
      </c>
      <c r="J15" s="8" t="s">
        <v>127</v>
      </c>
      <c r="L15" s="55"/>
      <c r="M15" s="5">
        <v>8</v>
      </c>
      <c r="N15" s="5">
        <v>2</v>
      </c>
      <c r="O15" s="5">
        <v>1</v>
      </c>
      <c r="P15" s="5" t="s">
        <v>14</v>
      </c>
      <c r="Q15" s="5">
        <v>501</v>
      </c>
      <c r="R15" s="5">
        <v>8</v>
      </c>
      <c r="S15" s="5" t="s">
        <v>128</v>
      </c>
      <c r="T15" s="5" t="s">
        <v>129</v>
      </c>
      <c r="U15" s="5" t="s">
        <v>130</v>
      </c>
      <c r="W15" s="55"/>
      <c r="X15" s="5">
        <v>8</v>
      </c>
      <c r="Y15" s="5">
        <v>2</v>
      </c>
      <c r="Z15" s="5">
        <v>1</v>
      </c>
      <c r="AA15" s="5" t="s">
        <v>18</v>
      </c>
      <c r="AB15" s="5">
        <v>65</v>
      </c>
      <c r="AC15" s="5">
        <v>8</v>
      </c>
      <c r="AD15" s="5" t="s">
        <v>131</v>
      </c>
      <c r="AE15" s="5" t="s">
        <v>113</v>
      </c>
      <c r="AF15" s="5" t="s">
        <v>132</v>
      </c>
    </row>
    <row r="16" spans="1:32" x14ac:dyDescent="0.25">
      <c r="A16" s="55"/>
      <c r="B16" s="7">
        <v>8</v>
      </c>
      <c r="C16" s="7">
        <v>1</v>
      </c>
      <c r="D16" s="7">
        <v>2</v>
      </c>
      <c r="E16" s="7" t="s">
        <v>10</v>
      </c>
      <c r="F16" s="7">
        <v>7914</v>
      </c>
      <c r="G16" s="7">
        <v>8</v>
      </c>
      <c r="H16" s="7" t="s">
        <v>133</v>
      </c>
      <c r="I16" s="7" t="s">
        <v>134</v>
      </c>
      <c r="J16" s="7" t="s">
        <v>135</v>
      </c>
      <c r="L16" s="55"/>
      <c r="M16" s="7">
        <v>8</v>
      </c>
      <c r="N16" s="7">
        <v>1</v>
      </c>
      <c r="O16" s="7">
        <v>2</v>
      </c>
      <c r="P16" s="7" t="s">
        <v>14</v>
      </c>
      <c r="Q16" s="7">
        <v>501</v>
      </c>
      <c r="R16" s="7">
        <v>8</v>
      </c>
      <c r="S16" s="7" t="s">
        <v>136</v>
      </c>
      <c r="T16" s="7" t="s">
        <v>137</v>
      </c>
      <c r="U16" s="7" t="s">
        <v>138</v>
      </c>
      <c r="W16" s="55"/>
      <c r="X16" s="7">
        <v>8</v>
      </c>
      <c r="Y16" s="7">
        <v>1</v>
      </c>
      <c r="Z16" s="7">
        <v>2</v>
      </c>
      <c r="AA16" s="7" t="s">
        <v>18</v>
      </c>
      <c r="AB16" s="7">
        <v>65</v>
      </c>
      <c r="AC16" s="7">
        <v>8</v>
      </c>
      <c r="AD16" s="7" t="s">
        <v>99</v>
      </c>
      <c r="AE16" s="7" t="s">
        <v>139</v>
      </c>
      <c r="AF16" s="7" t="s">
        <v>140</v>
      </c>
    </row>
    <row r="17" spans="1:32" x14ac:dyDescent="0.25">
      <c r="A17" s="55"/>
      <c r="B17" s="5">
        <v>8</v>
      </c>
      <c r="C17" s="5">
        <v>2</v>
      </c>
      <c r="D17" s="5">
        <v>2</v>
      </c>
      <c r="E17" s="5" t="s">
        <v>10</v>
      </c>
      <c r="F17" s="5">
        <v>7914</v>
      </c>
      <c r="G17" s="5">
        <v>8</v>
      </c>
      <c r="H17" s="5" t="s">
        <v>141</v>
      </c>
      <c r="I17" s="5" t="s">
        <v>142</v>
      </c>
      <c r="J17" s="8" t="s">
        <v>143</v>
      </c>
      <c r="L17" s="55"/>
      <c r="M17" s="5">
        <v>8</v>
      </c>
      <c r="N17" s="5">
        <v>2</v>
      </c>
      <c r="O17" s="5">
        <v>2</v>
      </c>
      <c r="P17" s="5" t="s">
        <v>14</v>
      </c>
      <c r="Q17" s="5">
        <v>501</v>
      </c>
      <c r="R17" s="5">
        <v>8</v>
      </c>
      <c r="S17" s="5" t="s">
        <v>144</v>
      </c>
      <c r="T17" s="5" t="s">
        <v>145</v>
      </c>
      <c r="U17" s="5" t="s">
        <v>146</v>
      </c>
      <c r="W17" s="55"/>
      <c r="X17" s="5">
        <v>8</v>
      </c>
      <c r="Y17" s="5">
        <v>2</v>
      </c>
      <c r="Z17" s="5">
        <v>2</v>
      </c>
      <c r="AA17" s="5" t="s">
        <v>18</v>
      </c>
      <c r="AB17" s="5">
        <v>65</v>
      </c>
      <c r="AC17" s="5">
        <v>8</v>
      </c>
      <c r="AD17" s="5" t="s">
        <v>112</v>
      </c>
      <c r="AE17" s="5" t="s">
        <v>131</v>
      </c>
      <c r="AF17" s="5" t="s">
        <v>147</v>
      </c>
    </row>
    <row r="18" spans="1:32" x14ac:dyDescent="0.25">
      <c r="A18" s="55"/>
      <c r="B18" s="7">
        <v>4</v>
      </c>
      <c r="C18" s="7">
        <v>1</v>
      </c>
      <c r="D18" s="7">
        <v>1</v>
      </c>
      <c r="E18" s="7" t="s">
        <v>10</v>
      </c>
      <c r="F18" s="7">
        <v>7914</v>
      </c>
      <c r="G18" s="7">
        <v>4</v>
      </c>
      <c r="H18" s="7" t="s">
        <v>148</v>
      </c>
      <c r="I18" s="7" t="s">
        <v>149</v>
      </c>
      <c r="J18" s="7" t="s">
        <v>150</v>
      </c>
      <c r="L18" s="55"/>
      <c r="M18" s="7">
        <v>4</v>
      </c>
      <c r="N18" s="7">
        <v>1</v>
      </c>
      <c r="O18" s="7">
        <v>1</v>
      </c>
      <c r="P18" s="7" t="s">
        <v>14</v>
      </c>
      <c r="Q18" s="7">
        <v>501</v>
      </c>
      <c r="R18" s="7">
        <v>4</v>
      </c>
      <c r="S18" s="7" t="s">
        <v>151</v>
      </c>
      <c r="T18" s="7" t="s">
        <v>152</v>
      </c>
      <c r="U18" s="7" t="s">
        <v>153</v>
      </c>
      <c r="W18" s="55"/>
      <c r="X18" s="7">
        <v>4</v>
      </c>
      <c r="Y18" s="7">
        <v>1</v>
      </c>
      <c r="Z18" s="7">
        <v>1</v>
      </c>
      <c r="AA18" s="7" t="s">
        <v>18</v>
      </c>
      <c r="AB18" s="7">
        <v>65</v>
      </c>
      <c r="AC18" s="7">
        <v>4</v>
      </c>
      <c r="AD18" s="7" t="s">
        <v>154</v>
      </c>
      <c r="AE18" s="7" t="s">
        <v>105</v>
      </c>
      <c r="AF18" s="7" t="s">
        <v>155</v>
      </c>
    </row>
    <row r="19" spans="1:32" x14ac:dyDescent="0.25">
      <c r="A19" s="55"/>
      <c r="B19" s="5">
        <v>4</v>
      </c>
      <c r="C19" s="5">
        <v>2</v>
      </c>
      <c r="D19" s="5">
        <v>1</v>
      </c>
      <c r="E19" s="5" t="s">
        <v>10</v>
      </c>
      <c r="F19" s="5">
        <v>7914</v>
      </c>
      <c r="G19" s="5">
        <v>4</v>
      </c>
      <c r="H19" s="5" t="s">
        <v>156</v>
      </c>
      <c r="I19" s="5" t="s">
        <v>157</v>
      </c>
      <c r="J19" s="5" t="s">
        <v>158</v>
      </c>
      <c r="L19" s="55"/>
      <c r="M19" s="5">
        <v>4</v>
      </c>
      <c r="N19" s="5">
        <v>2</v>
      </c>
      <c r="O19" s="5">
        <v>1</v>
      </c>
      <c r="P19" s="5" t="s">
        <v>14</v>
      </c>
      <c r="Q19" s="5">
        <v>501</v>
      </c>
      <c r="R19" s="5">
        <v>4</v>
      </c>
      <c r="S19" s="5" t="s">
        <v>159</v>
      </c>
      <c r="T19" s="5" t="s">
        <v>160</v>
      </c>
      <c r="U19" s="5" t="s">
        <v>161</v>
      </c>
      <c r="W19" s="55"/>
      <c r="X19" s="5">
        <v>4</v>
      </c>
      <c r="Y19" s="5">
        <v>2</v>
      </c>
      <c r="Z19" s="5">
        <v>1</v>
      </c>
      <c r="AA19" s="5" t="s">
        <v>18</v>
      </c>
      <c r="AB19" s="5">
        <v>65</v>
      </c>
      <c r="AC19" s="5">
        <v>4</v>
      </c>
      <c r="AD19" s="5" t="s">
        <v>154</v>
      </c>
      <c r="AE19" s="5" t="s">
        <v>105</v>
      </c>
      <c r="AF19" s="5" t="s">
        <v>162</v>
      </c>
    </row>
    <row r="20" spans="1:32" x14ac:dyDescent="0.25">
      <c r="A20" s="55"/>
      <c r="B20" s="7">
        <v>4</v>
      </c>
      <c r="C20" s="7">
        <v>1</v>
      </c>
      <c r="D20" s="7">
        <v>2</v>
      </c>
      <c r="E20" s="7" t="s">
        <v>10</v>
      </c>
      <c r="F20" s="7">
        <v>7914</v>
      </c>
      <c r="G20" s="7">
        <v>4</v>
      </c>
      <c r="H20" s="7" t="s">
        <v>163</v>
      </c>
      <c r="I20" s="7" t="s">
        <v>164</v>
      </c>
      <c r="J20" s="7" t="s">
        <v>165</v>
      </c>
      <c r="L20" s="55"/>
      <c r="M20" s="7">
        <v>4</v>
      </c>
      <c r="N20" s="7">
        <v>1</v>
      </c>
      <c r="O20" s="7">
        <v>2</v>
      </c>
      <c r="P20" s="7" t="s">
        <v>14</v>
      </c>
      <c r="Q20" s="7">
        <v>501</v>
      </c>
      <c r="R20" s="7">
        <v>4</v>
      </c>
      <c r="S20" s="7" t="s">
        <v>166</v>
      </c>
      <c r="T20" s="7" t="s">
        <v>167</v>
      </c>
      <c r="U20" s="7" t="s">
        <v>168</v>
      </c>
      <c r="W20" s="55"/>
      <c r="X20" s="7">
        <v>4</v>
      </c>
      <c r="Y20" s="7">
        <v>1</v>
      </c>
      <c r="Z20" s="7">
        <v>2</v>
      </c>
      <c r="AA20" s="7" t="s">
        <v>18</v>
      </c>
      <c r="AB20" s="7">
        <v>65</v>
      </c>
      <c r="AC20" s="7">
        <v>4</v>
      </c>
      <c r="AD20" s="7" t="s">
        <v>87</v>
      </c>
      <c r="AE20" s="7" t="s">
        <v>169</v>
      </c>
      <c r="AF20" s="7" t="s">
        <v>170</v>
      </c>
    </row>
    <row r="21" spans="1:32" x14ac:dyDescent="0.25">
      <c r="A21" s="55"/>
      <c r="B21" s="5">
        <v>4</v>
      </c>
      <c r="C21" s="5">
        <v>2</v>
      </c>
      <c r="D21" s="5">
        <v>2</v>
      </c>
      <c r="E21" s="5" t="s">
        <v>10</v>
      </c>
      <c r="F21" s="5">
        <v>7914</v>
      </c>
      <c r="G21" s="5">
        <v>4</v>
      </c>
      <c r="H21" s="5" t="s">
        <v>171</v>
      </c>
      <c r="I21" s="5" t="s">
        <v>172</v>
      </c>
      <c r="J21" s="5" t="s">
        <v>173</v>
      </c>
      <c r="L21" s="55"/>
      <c r="M21" s="5">
        <v>4</v>
      </c>
      <c r="N21" s="5">
        <v>2</v>
      </c>
      <c r="O21" s="5">
        <v>2</v>
      </c>
      <c r="P21" s="5" t="s">
        <v>14</v>
      </c>
      <c r="Q21" s="5">
        <v>501</v>
      </c>
      <c r="R21" s="5">
        <v>4</v>
      </c>
      <c r="S21" s="5" t="s">
        <v>174</v>
      </c>
      <c r="T21" s="5" t="s">
        <v>175</v>
      </c>
      <c r="U21" s="5" t="s">
        <v>176</v>
      </c>
      <c r="W21" s="55"/>
      <c r="X21" s="5">
        <v>4</v>
      </c>
      <c r="Y21" s="5">
        <v>2</v>
      </c>
      <c r="Z21" s="5">
        <v>2</v>
      </c>
      <c r="AA21" s="5" t="s">
        <v>18</v>
      </c>
      <c r="AB21" s="5">
        <v>65</v>
      </c>
      <c r="AC21" s="5">
        <v>4</v>
      </c>
      <c r="AD21" s="5" t="s">
        <v>177</v>
      </c>
      <c r="AE21" s="5" t="s">
        <v>178</v>
      </c>
      <c r="AF21" s="5" t="s">
        <v>179</v>
      </c>
    </row>
    <row r="22" spans="1:32" ht="15.75" thickBot="1" x14ac:dyDescent="0.3">
      <c r="A22" s="9"/>
      <c r="B22" s="2" t="s">
        <v>0</v>
      </c>
      <c r="C22" s="2" t="s">
        <v>1</v>
      </c>
      <c r="D22" s="2" t="s">
        <v>2</v>
      </c>
      <c r="E22" s="2" t="s">
        <v>3</v>
      </c>
      <c r="F22" s="2" t="s">
        <v>4</v>
      </c>
      <c r="G22" s="2" t="s">
        <v>5</v>
      </c>
      <c r="H22" s="2" t="s">
        <v>6</v>
      </c>
      <c r="I22" s="2" t="s">
        <v>7</v>
      </c>
      <c r="J22" s="2" t="s">
        <v>8</v>
      </c>
      <c r="L22" s="9"/>
      <c r="M22" s="2" t="s">
        <v>0</v>
      </c>
      <c r="N22" s="2" t="s">
        <v>1</v>
      </c>
      <c r="O22" s="2" t="s">
        <v>2</v>
      </c>
      <c r="P22" s="2" t="s">
        <v>3</v>
      </c>
      <c r="Q22" s="2" t="s">
        <v>4</v>
      </c>
      <c r="R22" s="2" t="s">
        <v>5</v>
      </c>
      <c r="S22" s="2" t="s">
        <v>6</v>
      </c>
      <c r="T22" s="2" t="s">
        <v>7</v>
      </c>
      <c r="U22" s="2" t="s">
        <v>8</v>
      </c>
      <c r="W22" s="9"/>
      <c r="X22" s="2" t="s">
        <v>0</v>
      </c>
      <c r="Y22" s="2" t="s">
        <v>1</v>
      </c>
      <c r="Z22" s="2" t="s">
        <v>2</v>
      </c>
      <c r="AA22" s="2" t="s">
        <v>3</v>
      </c>
      <c r="AB22" s="2" t="s">
        <v>4</v>
      </c>
      <c r="AC22" s="2" t="s">
        <v>5</v>
      </c>
      <c r="AD22" s="2" t="s">
        <v>6</v>
      </c>
      <c r="AE22" s="2" t="s">
        <v>7</v>
      </c>
      <c r="AF22" s="2" t="s">
        <v>8</v>
      </c>
    </row>
    <row r="23" spans="1:32" x14ac:dyDescent="0.25">
      <c r="A23" s="55" t="s">
        <v>180</v>
      </c>
      <c r="B23" s="3">
        <v>4</v>
      </c>
      <c r="C23" s="3">
        <v>1</v>
      </c>
      <c r="D23" s="3">
        <v>1</v>
      </c>
      <c r="E23" s="3" t="s">
        <v>10</v>
      </c>
      <c r="F23" s="3">
        <v>7914</v>
      </c>
      <c r="G23" s="3">
        <v>16</v>
      </c>
      <c r="H23" s="3" t="s">
        <v>181</v>
      </c>
      <c r="I23" s="3" t="s">
        <v>182</v>
      </c>
      <c r="J23" s="3" t="s">
        <v>183</v>
      </c>
      <c r="L23" s="55" t="s">
        <v>180</v>
      </c>
      <c r="M23" s="3">
        <v>4</v>
      </c>
      <c r="N23" s="3">
        <v>1</v>
      </c>
      <c r="O23" s="3">
        <v>1</v>
      </c>
      <c r="P23" s="3" t="s">
        <v>14</v>
      </c>
      <c r="Q23" s="3">
        <v>501</v>
      </c>
      <c r="R23" s="3">
        <v>16</v>
      </c>
      <c r="S23" s="3" t="s">
        <v>184</v>
      </c>
      <c r="T23" s="3" t="s">
        <v>121</v>
      </c>
      <c r="U23" s="3" t="s">
        <v>185</v>
      </c>
      <c r="W23" s="55" t="s">
        <v>180</v>
      </c>
      <c r="X23" s="3">
        <v>4</v>
      </c>
      <c r="Y23" s="3">
        <v>1</v>
      </c>
      <c r="Z23" s="3">
        <v>1</v>
      </c>
      <c r="AA23" s="3" t="s">
        <v>18</v>
      </c>
      <c r="AB23" s="3">
        <v>65</v>
      </c>
      <c r="AC23" s="3">
        <v>16</v>
      </c>
      <c r="AD23" s="3" t="s">
        <v>56</v>
      </c>
      <c r="AE23" s="3" t="s">
        <v>186</v>
      </c>
      <c r="AF23" s="3" t="s">
        <v>187</v>
      </c>
    </row>
    <row r="24" spans="1:32" x14ac:dyDescent="0.25">
      <c r="A24" s="55"/>
      <c r="B24" s="5">
        <v>4</v>
      </c>
      <c r="C24" s="5">
        <v>2</v>
      </c>
      <c r="D24" s="5">
        <v>1</v>
      </c>
      <c r="E24" s="5" t="s">
        <v>10</v>
      </c>
      <c r="F24" s="5">
        <v>7914</v>
      </c>
      <c r="G24" s="5">
        <v>16</v>
      </c>
      <c r="H24" s="5" t="s">
        <v>188</v>
      </c>
      <c r="I24" s="5" t="s">
        <v>189</v>
      </c>
      <c r="J24" s="5" t="s">
        <v>190</v>
      </c>
      <c r="L24" s="55"/>
      <c r="M24" s="5">
        <v>4</v>
      </c>
      <c r="N24" s="5">
        <v>2</v>
      </c>
      <c r="O24" s="5">
        <v>1</v>
      </c>
      <c r="P24" s="5" t="s">
        <v>14</v>
      </c>
      <c r="Q24" s="5">
        <v>501</v>
      </c>
      <c r="R24" s="5">
        <v>16</v>
      </c>
      <c r="S24" s="5" t="s">
        <v>191</v>
      </c>
      <c r="T24" s="5" t="s">
        <v>192</v>
      </c>
      <c r="U24" s="5" t="s">
        <v>193</v>
      </c>
      <c r="W24" s="55"/>
      <c r="X24" s="5">
        <v>4</v>
      </c>
      <c r="Y24" s="5">
        <v>2</v>
      </c>
      <c r="Z24" s="5">
        <v>1</v>
      </c>
      <c r="AA24" s="5" t="s">
        <v>18</v>
      </c>
      <c r="AB24" s="5">
        <v>65</v>
      </c>
      <c r="AC24" s="5">
        <v>16</v>
      </c>
      <c r="AD24" s="5" t="s">
        <v>98</v>
      </c>
      <c r="AE24" s="5" t="s">
        <v>194</v>
      </c>
      <c r="AF24" s="5" t="s">
        <v>195</v>
      </c>
    </row>
    <row r="25" spans="1:32" x14ac:dyDescent="0.25">
      <c r="A25" s="55"/>
      <c r="B25" s="7">
        <v>4</v>
      </c>
      <c r="C25" s="7">
        <v>1</v>
      </c>
      <c r="D25" s="7">
        <v>2</v>
      </c>
      <c r="E25" s="7" t="s">
        <v>10</v>
      </c>
      <c r="F25" s="7">
        <v>7914</v>
      </c>
      <c r="G25" s="7">
        <v>16</v>
      </c>
      <c r="H25" s="7" t="s">
        <v>196</v>
      </c>
      <c r="I25" s="7" t="s">
        <v>197</v>
      </c>
      <c r="J25" s="7" t="s">
        <v>198</v>
      </c>
      <c r="L25" s="55"/>
      <c r="M25" s="7">
        <v>4</v>
      </c>
      <c r="N25" s="7">
        <v>1</v>
      </c>
      <c r="O25" s="7">
        <v>2</v>
      </c>
      <c r="P25" s="7" t="s">
        <v>14</v>
      </c>
      <c r="Q25" s="7">
        <v>501</v>
      </c>
      <c r="R25" s="7">
        <v>16</v>
      </c>
      <c r="S25" s="7" t="s">
        <v>199</v>
      </c>
      <c r="T25" s="7" t="s">
        <v>200</v>
      </c>
      <c r="U25" s="7" t="s">
        <v>201</v>
      </c>
      <c r="W25" s="55"/>
      <c r="X25" s="7">
        <v>4</v>
      </c>
      <c r="Y25" s="7">
        <v>1</v>
      </c>
      <c r="Z25" s="7">
        <v>2</v>
      </c>
      <c r="AA25" s="7" t="s">
        <v>18</v>
      </c>
      <c r="AB25" s="7">
        <v>65</v>
      </c>
      <c r="AC25" s="7">
        <v>16</v>
      </c>
      <c r="AD25" s="7" t="s">
        <v>202</v>
      </c>
      <c r="AE25" s="7" t="s">
        <v>203</v>
      </c>
      <c r="AF25" s="7" t="s">
        <v>204</v>
      </c>
    </row>
    <row r="26" spans="1:32" x14ac:dyDescent="0.25">
      <c r="A26" s="55"/>
      <c r="B26" s="5">
        <v>4</v>
      </c>
      <c r="C26" s="5">
        <v>2</v>
      </c>
      <c r="D26" s="5">
        <v>2</v>
      </c>
      <c r="E26" s="5" t="s">
        <v>10</v>
      </c>
      <c r="F26" s="5">
        <v>7914</v>
      </c>
      <c r="G26" s="5">
        <v>16</v>
      </c>
      <c r="H26" s="5" t="s">
        <v>205</v>
      </c>
      <c r="I26" s="5" t="s">
        <v>206</v>
      </c>
      <c r="J26" s="5" t="s">
        <v>207</v>
      </c>
      <c r="L26" s="55"/>
      <c r="M26" s="5">
        <v>4</v>
      </c>
      <c r="N26" s="5">
        <v>2</v>
      </c>
      <c r="O26" s="5">
        <v>2</v>
      </c>
      <c r="P26" s="5" t="s">
        <v>14</v>
      </c>
      <c r="Q26" s="5">
        <v>501</v>
      </c>
      <c r="R26" s="5">
        <v>16</v>
      </c>
      <c r="S26" s="5" t="s">
        <v>199</v>
      </c>
      <c r="T26" s="5" t="s">
        <v>208</v>
      </c>
      <c r="U26" s="5" t="s">
        <v>209</v>
      </c>
      <c r="W26" s="55"/>
      <c r="X26" s="5">
        <v>4</v>
      </c>
      <c r="Y26" s="5">
        <v>2</v>
      </c>
      <c r="Z26" s="5">
        <v>2</v>
      </c>
      <c r="AA26" s="5" t="s">
        <v>18</v>
      </c>
      <c r="AB26" s="5">
        <v>65</v>
      </c>
      <c r="AC26" s="5">
        <v>16</v>
      </c>
      <c r="AD26" s="5" t="s">
        <v>115</v>
      </c>
      <c r="AE26" s="5" t="s">
        <v>98</v>
      </c>
      <c r="AF26" s="5" t="s">
        <v>210</v>
      </c>
    </row>
    <row r="27" spans="1:32" x14ac:dyDescent="0.25">
      <c r="A27" s="55"/>
      <c r="B27" s="7">
        <v>8</v>
      </c>
      <c r="C27" s="7">
        <v>1</v>
      </c>
      <c r="D27" s="7">
        <v>1</v>
      </c>
      <c r="E27" s="7" t="s">
        <v>10</v>
      </c>
      <c r="F27" s="7">
        <v>7914</v>
      </c>
      <c r="G27" s="7">
        <v>32</v>
      </c>
      <c r="H27" s="7" t="s">
        <v>211</v>
      </c>
      <c r="I27" s="7" t="s">
        <v>212</v>
      </c>
      <c r="J27" s="7" t="s">
        <v>213</v>
      </c>
      <c r="L27" s="55"/>
      <c r="M27" s="7">
        <v>8</v>
      </c>
      <c r="N27" s="7">
        <v>1</v>
      </c>
      <c r="O27" s="7">
        <v>1</v>
      </c>
      <c r="P27" s="7" t="s">
        <v>14</v>
      </c>
      <c r="Q27" s="7">
        <v>501</v>
      </c>
      <c r="R27" s="7">
        <v>32</v>
      </c>
      <c r="S27" s="7" t="s">
        <v>214</v>
      </c>
      <c r="T27" s="7" t="s">
        <v>215</v>
      </c>
      <c r="U27" s="7" t="s">
        <v>216</v>
      </c>
      <c r="W27" s="55"/>
      <c r="X27" s="7">
        <v>8</v>
      </c>
      <c r="Y27" s="7">
        <v>1</v>
      </c>
      <c r="Z27" s="7">
        <v>1</v>
      </c>
      <c r="AA27" s="7" t="s">
        <v>18</v>
      </c>
      <c r="AB27" s="7">
        <v>65</v>
      </c>
      <c r="AC27" s="7">
        <v>32</v>
      </c>
      <c r="AD27" s="7" t="s">
        <v>217</v>
      </c>
      <c r="AE27" s="7" t="s">
        <v>28</v>
      </c>
      <c r="AF27" s="7" t="s">
        <v>218</v>
      </c>
    </row>
    <row r="28" spans="1:32" x14ac:dyDescent="0.25">
      <c r="A28" s="55"/>
      <c r="B28" s="5">
        <v>8</v>
      </c>
      <c r="C28" s="5">
        <v>2</v>
      </c>
      <c r="D28" s="5">
        <v>1</v>
      </c>
      <c r="E28" s="5" t="s">
        <v>10</v>
      </c>
      <c r="F28" s="5">
        <v>7914</v>
      </c>
      <c r="G28" s="5">
        <v>32</v>
      </c>
      <c r="H28" s="5" t="s">
        <v>219</v>
      </c>
      <c r="I28" s="5" t="s">
        <v>220</v>
      </c>
      <c r="J28" s="5" t="s">
        <v>221</v>
      </c>
      <c r="L28" s="55"/>
      <c r="M28" s="5">
        <v>8</v>
      </c>
      <c r="N28" s="5">
        <v>2</v>
      </c>
      <c r="O28" s="5">
        <v>1</v>
      </c>
      <c r="P28" s="5" t="s">
        <v>14</v>
      </c>
      <c r="Q28" s="5">
        <v>501</v>
      </c>
      <c r="R28" s="5">
        <v>32</v>
      </c>
      <c r="S28" s="5" t="s">
        <v>222</v>
      </c>
      <c r="T28" s="5" t="s">
        <v>53</v>
      </c>
      <c r="U28" s="5" t="s">
        <v>223</v>
      </c>
      <c r="W28" s="55"/>
      <c r="X28" s="5">
        <v>8</v>
      </c>
      <c r="Y28" s="5">
        <v>2</v>
      </c>
      <c r="Z28" s="5">
        <v>1</v>
      </c>
      <c r="AA28" s="5" t="s">
        <v>18</v>
      </c>
      <c r="AB28" s="5">
        <v>65</v>
      </c>
      <c r="AC28" s="5">
        <v>32</v>
      </c>
      <c r="AD28" s="5" t="s">
        <v>224</v>
      </c>
      <c r="AE28" s="5" t="s">
        <v>225</v>
      </c>
      <c r="AF28" s="5" t="s">
        <v>226</v>
      </c>
    </row>
    <row r="29" spans="1:32" x14ac:dyDescent="0.25">
      <c r="A29" s="55"/>
      <c r="B29" s="7">
        <v>8</v>
      </c>
      <c r="C29" s="7">
        <v>1</v>
      </c>
      <c r="D29" s="7">
        <v>2</v>
      </c>
      <c r="E29" s="7" t="s">
        <v>10</v>
      </c>
      <c r="F29" s="7">
        <v>7914</v>
      </c>
      <c r="G29" s="7">
        <v>32</v>
      </c>
      <c r="H29" s="7" t="s">
        <v>227</v>
      </c>
      <c r="I29" s="7" t="s">
        <v>228</v>
      </c>
      <c r="J29" s="7" t="s">
        <v>229</v>
      </c>
      <c r="L29" s="55"/>
      <c r="M29" s="7">
        <v>8</v>
      </c>
      <c r="N29" s="7">
        <v>1</v>
      </c>
      <c r="O29" s="7">
        <v>2</v>
      </c>
      <c r="P29" s="7" t="s">
        <v>14</v>
      </c>
      <c r="Q29" s="7">
        <v>501</v>
      </c>
      <c r="R29" s="7">
        <v>32</v>
      </c>
      <c r="S29" s="7" t="s">
        <v>230</v>
      </c>
      <c r="T29" s="7" t="s">
        <v>231</v>
      </c>
      <c r="U29" s="7" t="s">
        <v>232</v>
      </c>
      <c r="W29" s="55"/>
      <c r="X29" s="7">
        <v>8</v>
      </c>
      <c r="Y29" s="7">
        <v>1</v>
      </c>
      <c r="Z29" s="7">
        <v>2</v>
      </c>
      <c r="AA29" s="7" t="s">
        <v>18</v>
      </c>
      <c r="AB29" s="7">
        <v>65</v>
      </c>
      <c r="AC29" s="7">
        <v>32</v>
      </c>
      <c r="AD29" s="7" t="s">
        <v>20</v>
      </c>
      <c r="AE29" s="7" t="s">
        <v>233</v>
      </c>
      <c r="AF29" s="7" t="s">
        <v>234</v>
      </c>
    </row>
    <row r="30" spans="1:32" x14ac:dyDescent="0.25">
      <c r="A30" s="55"/>
      <c r="B30" s="5">
        <v>8</v>
      </c>
      <c r="C30" s="5">
        <v>2</v>
      </c>
      <c r="D30" s="5">
        <v>2</v>
      </c>
      <c r="E30" s="5" t="s">
        <v>10</v>
      </c>
      <c r="F30" s="5">
        <v>7914</v>
      </c>
      <c r="G30" s="5">
        <v>32</v>
      </c>
      <c r="H30" s="5" t="s">
        <v>235</v>
      </c>
      <c r="I30" s="5" t="s">
        <v>236</v>
      </c>
      <c r="J30" s="5" t="s">
        <v>237</v>
      </c>
      <c r="L30" s="55"/>
      <c r="M30" s="5">
        <v>8</v>
      </c>
      <c r="N30" s="5">
        <v>2</v>
      </c>
      <c r="O30" s="5">
        <v>2</v>
      </c>
      <c r="P30" s="5" t="s">
        <v>14</v>
      </c>
      <c r="Q30" s="5">
        <v>501</v>
      </c>
      <c r="R30" s="5">
        <v>32</v>
      </c>
      <c r="S30" s="5" t="s">
        <v>238</v>
      </c>
      <c r="T30" s="5" t="s">
        <v>26</v>
      </c>
      <c r="U30" s="5" t="s">
        <v>239</v>
      </c>
      <c r="W30" s="55"/>
      <c r="X30" s="5">
        <v>8</v>
      </c>
      <c r="Y30" s="5">
        <v>2</v>
      </c>
      <c r="Z30" s="5">
        <v>2</v>
      </c>
      <c r="AA30" s="5" t="s">
        <v>18</v>
      </c>
      <c r="AB30" s="5">
        <v>65</v>
      </c>
      <c r="AC30" s="5">
        <v>32</v>
      </c>
      <c r="AD30" s="5" t="s">
        <v>37</v>
      </c>
      <c r="AE30" s="5" t="s">
        <v>46</v>
      </c>
      <c r="AF30" s="5" t="s">
        <v>240</v>
      </c>
    </row>
    <row r="31" spans="1:32" x14ac:dyDescent="0.25">
      <c r="A31" s="55"/>
      <c r="B31" s="7">
        <v>16</v>
      </c>
      <c r="C31" s="7">
        <v>1</v>
      </c>
      <c r="D31" s="7">
        <v>1</v>
      </c>
      <c r="E31" s="7" t="s">
        <v>10</v>
      </c>
      <c r="F31" s="7">
        <v>7914</v>
      </c>
      <c r="G31" s="7">
        <v>64</v>
      </c>
      <c r="H31" s="7" t="s">
        <v>241</v>
      </c>
      <c r="I31" s="7" t="s">
        <v>22</v>
      </c>
      <c r="J31" s="7" t="s">
        <v>242</v>
      </c>
      <c r="L31" s="55"/>
      <c r="M31" s="7">
        <v>16</v>
      </c>
      <c r="N31" s="7">
        <v>1</v>
      </c>
      <c r="O31" s="7">
        <v>1</v>
      </c>
      <c r="P31" s="7" t="s">
        <v>14</v>
      </c>
      <c r="Q31" s="7">
        <v>501</v>
      </c>
      <c r="R31" s="7">
        <v>64</v>
      </c>
      <c r="S31" s="7" t="s">
        <v>243</v>
      </c>
      <c r="T31" s="7" t="s">
        <v>244</v>
      </c>
      <c r="U31" s="7" t="s">
        <v>245</v>
      </c>
      <c r="W31" s="55"/>
      <c r="X31" s="7">
        <v>16</v>
      </c>
      <c r="Y31" s="7">
        <v>1</v>
      </c>
      <c r="Z31" s="7">
        <v>1</v>
      </c>
      <c r="AA31" s="7" t="s">
        <v>18</v>
      </c>
      <c r="AB31" s="7">
        <v>65</v>
      </c>
      <c r="AC31" s="7">
        <v>64</v>
      </c>
      <c r="AD31" s="7" t="s">
        <v>217</v>
      </c>
      <c r="AE31" s="7" t="s">
        <v>224</v>
      </c>
      <c r="AF31" s="7" t="s">
        <v>246</v>
      </c>
    </row>
    <row r="32" spans="1:32" x14ac:dyDescent="0.25">
      <c r="A32" s="55"/>
      <c r="B32" s="5">
        <v>16</v>
      </c>
      <c r="C32" s="5">
        <v>2</v>
      </c>
      <c r="D32" s="5">
        <v>1</v>
      </c>
      <c r="E32" s="5" t="s">
        <v>10</v>
      </c>
      <c r="F32" s="5">
        <v>7914</v>
      </c>
      <c r="G32" s="5">
        <v>64</v>
      </c>
      <c r="H32" s="5" t="s">
        <v>247</v>
      </c>
      <c r="I32" s="5" t="s">
        <v>248</v>
      </c>
      <c r="J32" s="5" t="s">
        <v>249</v>
      </c>
      <c r="L32" s="55"/>
      <c r="M32" s="5">
        <v>16</v>
      </c>
      <c r="N32" s="5">
        <v>2</v>
      </c>
      <c r="O32" s="5">
        <v>1</v>
      </c>
      <c r="P32" s="5" t="s">
        <v>14</v>
      </c>
      <c r="Q32" s="5">
        <v>501</v>
      </c>
      <c r="R32" s="5">
        <v>64</v>
      </c>
      <c r="S32" s="5" t="s">
        <v>250</v>
      </c>
      <c r="T32" s="5" t="s">
        <v>251</v>
      </c>
      <c r="U32" s="5" t="s">
        <v>252</v>
      </c>
      <c r="W32" s="55"/>
      <c r="X32" s="5">
        <v>16</v>
      </c>
      <c r="Y32" s="5">
        <v>2</v>
      </c>
      <c r="Z32" s="5">
        <v>1</v>
      </c>
      <c r="AA32" s="5" t="s">
        <v>18</v>
      </c>
      <c r="AB32" s="5">
        <v>65</v>
      </c>
      <c r="AC32" s="5">
        <v>64</v>
      </c>
      <c r="AD32" s="5" t="s">
        <v>37</v>
      </c>
      <c r="AE32" s="5" t="s">
        <v>46</v>
      </c>
      <c r="AF32" s="5" t="s">
        <v>253</v>
      </c>
    </row>
    <row r="33" spans="1:32" x14ac:dyDescent="0.25">
      <c r="A33" s="55"/>
      <c r="B33" s="7">
        <v>16</v>
      </c>
      <c r="C33" s="7">
        <v>1</v>
      </c>
      <c r="D33" s="7">
        <v>2</v>
      </c>
      <c r="E33" s="7" t="s">
        <v>10</v>
      </c>
      <c r="F33" s="7">
        <v>7914</v>
      </c>
      <c r="G33" s="7">
        <v>64</v>
      </c>
      <c r="H33" s="7" t="s">
        <v>254</v>
      </c>
      <c r="I33" s="7" t="s">
        <v>255</v>
      </c>
      <c r="J33" s="7" t="s">
        <v>256</v>
      </c>
      <c r="L33" s="55"/>
      <c r="M33" s="7">
        <v>16</v>
      </c>
      <c r="N33" s="7">
        <v>1</v>
      </c>
      <c r="O33" s="7">
        <v>2</v>
      </c>
      <c r="P33" s="7" t="s">
        <v>14</v>
      </c>
      <c r="Q33" s="7">
        <v>501</v>
      </c>
      <c r="R33" s="7">
        <v>64</v>
      </c>
      <c r="S33" s="7" t="s">
        <v>257</v>
      </c>
      <c r="T33" s="7" t="s">
        <v>258</v>
      </c>
      <c r="U33" s="7" t="s">
        <v>259</v>
      </c>
      <c r="W33" s="55"/>
      <c r="X33" s="7">
        <v>16</v>
      </c>
      <c r="Y33" s="7">
        <v>1</v>
      </c>
      <c r="Z33" s="7">
        <v>2</v>
      </c>
      <c r="AA33" s="7" t="s">
        <v>18</v>
      </c>
      <c r="AB33" s="7">
        <v>65</v>
      </c>
      <c r="AC33" s="7">
        <v>64</v>
      </c>
      <c r="AD33" s="7" t="s">
        <v>260</v>
      </c>
      <c r="AE33" s="7" t="s">
        <v>261</v>
      </c>
      <c r="AF33" s="7" t="s">
        <v>262</v>
      </c>
    </row>
    <row r="34" spans="1:32" x14ac:dyDescent="0.25">
      <c r="A34" s="55"/>
      <c r="B34" s="5">
        <v>16</v>
      </c>
      <c r="C34" s="5">
        <v>2</v>
      </c>
      <c r="D34" s="5">
        <v>2</v>
      </c>
      <c r="E34" s="5" t="s">
        <v>10</v>
      </c>
      <c r="F34" s="5">
        <v>7914</v>
      </c>
      <c r="G34" s="5">
        <v>64</v>
      </c>
      <c r="H34" s="5" t="s">
        <v>263</v>
      </c>
      <c r="I34" s="5" t="s">
        <v>264</v>
      </c>
      <c r="J34" s="5" t="s">
        <v>265</v>
      </c>
      <c r="L34" s="55"/>
      <c r="M34" s="5">
        <v>16</v>
      </c>
      <c r="N34" s="5">
        <v>2</v>
      </c>
      <c r="O34" s="5">
        <v>2</v>
      </c>
      <c r="P34" s="5" t="s">
        <v>14</v>
      </c>
      <c r="Q34" s="5">
        <v>501</v>
      </c>
      <c r="R34" s="5">
        <v>64</v>
      </c>
      <c r="S34" s="5" t="s">
        <v>266</v>
      </c>
      <c r="T34" s="5" t="s">
        <v>267</v>
      </c>
      <c r="U34" s="5" t="s">
        <v>268</v>
      </c>
      <c r="W34" s="55"/>
      <c r="X34" s="5">
        <v>16</v>
      </c>
      <c r="Y34" s="5">
        <v>2</v>
      </c>
      <c r="Z34" s="5">
        <v>2</v>
      </c>
      <c r="AA34" s="5" t="s">
        <v>18</v>
      </c>
      <c r="AB34" s="5">
        <v>65</v>
      </c>
      <c r="AC34" s="5">
        <v>64</v>
      </c>
      <c r="AD34" s="5" t="s">
        <v>20</v>
      </c>
      <c r="AE34" s="5" t="s">
        <v>37</v>
      </c>
      <c r="AF34" s="5" t="s">
        <v>269</v>
      </c>
    </row>
    <row r="35" spans="1:32" x14ac:dyDescent="0.25">
      <c r="A35" s="55"/>
      <c r="B35" s="7">
        <v>24</v>
      </c>
      <c r="C35" s="7">
        <v>1</v>
      </c>
      <c r="D35" s="7">
        <v>1</v>
      </c>
      <c r="E35" s="7" t="s">
        <v>10</v>
      </c>
      <c r="F35" s="7">
        <v>7914</v>
      </c>
      <c r="G35" s="7">
        <v>96</v>
      </c>
      <c r="H35" s="7" t="s">
        <v>270</v>
      </c>
      <c r="I35" s="7" t="s">
        <v>271</v>
      </c>
      <c r="J35" s="7" t="s">
        <v>272</v>
      </c>
      <c r="L35" s="55"/>
      <c r="M35" s="7">
        <v>24</v>
      </c>
      <c r="N35" s="7">
        <v>1</v>
      </c>
      <c r="O35" s="7">
        <v>1</v>
      </c>
      <c r="P35" s="7" t="s">
        <v>14</v>
      </c>
      <c r="Q35" s="7">
        <v>501</v>
      </c>
      <c r="R35" s="7">
        <v>96</v>
      </c>
      <c r="S35" s="7" t="s">
        <v>169</v>
      </c>
      <c r="T35" s="7" t="s">
        <v>273</v>
      </c>
      <c r="U35" s="7" t="s">
        <v>274</v>
      </c>
      <c r="W35" s="55"/>
      <c r="X35" s="7">
        <v>24</v>
      </c>
      <c r="Y35" s="7">
        <v>1</v>
      </c>
      <c r="Z35" s="7">
        <v>1</v>
      </c>
      <c r="AA35" s="7" t="s">
        <v>18</v>
      </c>
      <c r="AB35" s="7">
        <v>65</v>
      </c>
      <c r="AC35" s="7">
        <v>96</v>
      </c>
      <c r="AD35" s="7" t="s">
        <v>261</v>
      </c>
      <c r="AE35" s="7" t="s">
        <v>217</v>
      </c>
      <c r="AF35" s="7" t="s">
        <v>275</v>
      </c>
    </row>
    <row r="36" spans="1:32" x14ac:dyDescent="0.25">
      <c r="A36" s="55"/>
      <c r="B36" s="5">
        <v>24</v>
      </c>
      <c r="C36" s="5">
        <v>2</v>
      </c>
      <c r="D36" s="5">
        <v>1</v>
      </c>
      <c r="E36" s="5" t="s">
        <v>10</v>
      </c>
      <c r="F36" s="5">
        <v>7914</v>
      </c>
      <c r="G36" s="5">
        <v>96</v>
      </c>
      <c r="H36" s="5" t="s">
        <v>276</v>
      </c>
      <c r="I36" s="5" t="s">
        <v>277</v>
      </c>
      <c r="J36" s="5" t="s">
        <v>278</v>
      </c>
      <c r="L36" s="55"/>
      <c r="M36" s="5">
        <v>24</v>
      </c>
      <c r="N36" s="5">
        <v>2</v>
      </c>
      <c r="O36" s="5">
        <v>1</v>
      </c>
      <c r="P36" s="5" t="s">
        <v>14</v>
      </c>
      <c r="Q36" s="5">
        <v>501</v>
      </c>
      <c r="R36" s="5">
        <v>96</v>
      </c>
      <c r="S36" s="5" t="s">
        <v>279</v>
      </c>
      <c r="T36" s="5" t="s">
        <v>280</v>
      </c>
      <c r="U36" s="5" t="s">
        <v>281</v>
      </c>
      <c r="W36" s="55"/>
      <c r="X36" s="5">
        <v>24</v>
      </c>
      <c r="Y36" s="5">
        <v>2</v>
      </c>
      <c r="Z36" s="5">
        <v>1</v>
      </c>
      <c r="AA36" s="5" t="s">
        <v>18</v>
      </c>
      <c r="AB36" s="5">
        <v>65</v>
      </c>
      <c r="AC36" s="5">
        <v>96</v>
      </c>
      <c r="AD36" s="5" t="s">
        <v>37</v>
      </c>
      <c r="AE36" s="5" t="s">
        <v>46</v>
      </c>
      <c r="AF36" s="5" t="s">
        <v>282</v>
      </c>
    </row>
    <row r="37" spans="1:32" x14ac:dyDescent="0.25">
      <c r="A37" s="55"/>
      <c r="B37" s="7">
        <v>24</v>
      </c>
      <c r="C37" s="7">
        <v>1</v>
      </c>
      <c r="D37" s="7">
        <v>2</v>
      </c>
      <c r="E37" s="7" t="s">
        <v>10</v>
      </c>
      <c r="F37" s="7">
        <v>7914</v>
      </c>
      <c r="G37" s="7">
        <v>96</v>
      </c>
      <c r="H37" s="7" t="s">
        <v>283</v>
      </c>
      <c r="I37" s="7" t="s">
        <v>284</v>
      </c>
      <c r="J37" s="7" t="s">
        <v>285</v>
      </c>
      <c r="L37" s="55"/>
      <c r="M37" s="7">
        <v>24</v>
      </c>
      <c r="N37" s="7">
        <v>1</v>
      </c>
      <c r="O37" s="7">
        <v>2</v>
      </c>
      <c r="P37" s="7" t="s">
        <v>14</v>
      </c>
      <c r="Q37" s="7">
        <v>501</v>
      </c>
      <c r="R37" s="7">
        <v>96</v>
      </c>
      <c r="S37" s="7" t="s">
        <v>286</v>
      </c>
      <c r="T37" s="7" t="s">
        <v>287</v>
      </c>
      <c r="U37" s="7" t="s">
        <v>288</v>
      </c>
      <c r="W37" s="55"/>
      <c r="X37" s="7">
        <v>24</v>
      </c>
      <c r="Y37" s="7">
        <v>1</v>
      </c>
      <c r="Z37" s="7">
        <v>2</v>
      </c>
      <c r="AA37" s="7" t="s">
        <v>18</v>
      </c>
      <c r="AB37" s="7">
        <v>65</v>
      </c>
      <c r="AC37" s="7">
        <v>96</v>
      </c>
      <c r="AD37" s="7" t="s">
        <v>107</v>
      </c>
      <c r="AE37" s="7" t="s">
        <v>28</v>
      </c>
      <c r="AF37" s="7" t="s">
        <v>289</v>
      </c>
    </row>
    <row r="38" spans="1:32" x14ac:dyDescent="0.25">
      <c r="A38" s="55"/>
      <c r="B38" s="5">
        <v>24</v>
      </c>
      <c r="C38" s="5">
        <v>2</v>
      </c>
      <c r="D38" s="5">
        <v>2</v>
      </c>
      <c r="E38" s="5" t="s">
        <v>10</v>
      </c>
      <c r="F38" s="5">
        <v>7914</v>
      </c>
      <c r="G38" s="5">
        <v>96</v>
      </c>
      <c r="H38" s="5" t="s">
        <v>290</v>
      </c>
      <c r="I38" s="5" t="s">
        <v>291</v>
      </c>
      <c r="J38" s="5" t="s">
        <v>292</v>
      </c>
      <c r="L38" s="55"/>
      <c r="M38" s="5">
        <v>24</v>
      </c>
      <c r="N38" s="5">
        <v>2</v>
      </c>
      <c r="O38" s="5">
        <v>2</v>
      </c>
      <c r="P38" s="5" t="s">
        <v>14</v>
      </c>
      <c r="Q38" s="5">
        <v>501</v>
      </c>
      <c r="R38" s="5">
        <v>96</v>
      </c>
      <c r="S38" s="5" t="s">
        <v>293</v>
      </c>
      <c r="T38" s="5" t="s">
        <v>294</v>
      </c>
      <c r="U38" s="5" t="s">
        <v>295</v>
      </c>
      <c r="W38" s="55"/>
      <c r="X38" s="5">
        <v>24</v>
      </c>
      <c r="Y38" s="5">
        <v>2</v>
      </c>
      <c r="Z38" s="5">
        <v>2</v>
      </c>
      <c r="AA38" s="5" t="s">
        <v>18</v>
      </c>
      <c r="AB38" s="5">
        <v>65</v>
      </c>
      <c r="AC38" s="5">
        <v>96</v>
      </c>
      <c r="AD38" s="5" t="s">
        <v>28</v>
      </c>
      <c r="AE38" s="5" t="s">
        <v>225</v>
      </c>
      <c r="AF38" s="5" t="s">
        <v>296</v>
      </c>
    </row>
    <row r="39" spans="1:32" ht="15.75" thickBot="1" x14ac:dyDescent="0.3">
      <c r="A39" s="9"/>
      <c r="B39" s="2" t="s">
        <v>297</v>
      </c>
      <c r="C39" s="2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  <c r="L39" s="9"/>
      <c r="M39" s="2" t="s">
        <v>298</v>
      </c>
      <c r="N39" s="2" t="s">
        <v>1</v>
      </c>
      <c r="O39" s="2" t="s">
        <v>2</v>
      </c>
      <c r="P39" s="2" t="s">
        <v>3</v>
      </c>
      <c r="Q39" s="2" t="s">
        <v>4</v>
      </c>
      <c r="R39" s="2" t="s">
        <v>5</v>
      </c>
      <c r="S39" s="2" t="s">
        <v>6</v>
      </c>
      <c r="T39" s="2" t="s">
        <v>7</v>
      </c>
      <c r="U39" s="2" t="s">
        <v>8</v>
      </c>
      <c r="W39" s="9"/>
      <c r="X39" s="2" t="s">
        <v>298</v>
      </c>
      <c r="Y39" s="2" t="s">
        <v>1</v>
      </c>
      <c r="Z39" s="2" t="s">
        <v>2</v>
      </c>
      <c r="AA39" s="2" t="s">
        <v>3</v>
      </c>
      <c r="AB39" s="2" t="s">
        <v>4</v>
      </c>
      <c r="AC39" s="2" t="s">
        <v>5</v>
      </c>
      <c r="AD39" s="2" t="s">
        <v>6</v>
      </c>
      <c r="AE39" s="2" t="s">
        <v>7</v>
      </c>
      <c r="AF39" s="2" t="s">
        <v>8</v>
      </c>
    </row>
    <row r="40" spans="1:32" x14ac:dyDescent="0.25">
      <c r="A40" s="55" t="s">
        <v>299</v>
      </c>
      <c r="B40" s="3">
        <v>1</v>
      </c>
      <c r="C40" s="3">
        <v>1</v>
      </c>
      <c r="D40" s="3">
        <v>1</v>
      </c>
      <c r="E40" s="3" t="s">
        <v>10</v>
      </c>
      <c r="F40" s="3">
        <v>7914</v>
      </c>
      <c r="G40" s="3">
        <v>32</v>
      </c>
      <c r="H40" s="3" t="s">
        <v>300</v>
      </c>
      <c r="I40" s="3" t="s">
        <v>301</v>
      </c>
      <c r="J40" s="3" t="s">
        <v>302</v>
      </c>
      <c r="L40" s="55" t="s">
        <v>299</v>
      </c>
      <c r="M40" s="3">
        <v>1</v>
      </c>
      <c r="N40" s="3">
        <v>1</v>
      </c>
      <c r="O40" s="3">
        <v>1</v>
      </c>
      <c r="P40" s="3" t="s">
        <v>14</v>
      </c>
      <c r="Q40" s="3">
        <v>501</v>
      </c>
      <c r="R40" s="3">
        <v>32</v>
      </c>
      <c r="S40" s="3" t="s">
        <v>303</v>
      </c>
      <c r="T40" s="3" t="s">
        <v>304</v>
      </c>
      <c r="U40" s="3" t="s">
        <v>305</v>
      </c>
      <c r="W40" s="55" t="s">
        <v>299</v>
      </c>
      <c r="X40" s="3">
        <v>1</v>
      </c>
      <c r="Y40" s="3">
        <v>1</v>
      </c>
      <c r="Z40" s="3">
        <v>1</v>
      </c>
      <c r="AA40" s="3" t="s">
        <v>18</v>
      </c>
      <c r="AB40" s="3">
        <v>65</v>
      </c>
      <c r="AC40" s="3">
        <v>32</v>
      </c>
      <c r="AD40" s="3" t="s">
        <v>306</v>
      </c>
      <c r="AE40" s="3" t="s">
        <v>307</v>
      </c>
      <c r="AF40" s="3" t="s">
        <v>308</v>
      </c>
    </row>
    <row r="41" spans="1:32" x14ac:dyDescent="0.25">
      <c r="A41" s="55"/>
      <c r="B41" s="5">
        <v>1</v>
      </c>
      <c r="C41" s="5">
        <v>2</v>
      </c>
      <c r="D41" s="5">
        <v>1</v>
      </c>
      <c r="E41" s="5" t="s">
        <v>10</v>
      </c>
      <c r="F41" s="5">
        <v>7914</v>
      </c>
      <c r="G41" s="5">
        <v>32</v>
      </c>
      <c r="H41" s="5" t="s">
        <v>309</v>
      </c>
      <c r="I41" s="5" t="s">
        <v>310</v>
      </c>
      <c r="J41" s="5" t="s">
        <v>311</v>
      </c>
      <c r="L41" s="55"/>
      <c r="M41" s="5">
        <v>1</v>
      </c>
      <c r="N41" s="5">
        <v>2</v>
      </c>
      <c r="O41" s="5">
        <v>1</v>
      </c>
      <c r="P41" s="5" t="s">
        <v>14</v>
      </c>
      <c r="Q41" s="5">
        <v>501</v>
      </c>
      <c r="R41" s="5">
        <v>32</v>
      </c>
      <c r="S41" s="5" t="s">
        <v>312</v>
      </c>
      <c r="T41" s="5" t="s">
        <v>313</v>
      </c>
      <c r="U41" s="5" t="s">
        <v>256</v>
      </c>
      <c r="W41" s="55"/>
      <c r="X41" s="5">
        <v>1</v>
      </c>
      <c r="Y41" s="5">
        <v>2</v>
      </c>
      <c r="Z41" s="5">
        <v>1</v>
      </c>
      <c r="AA41" s="5" t="s">
        <v>18</v>
      </c>
      <c r="AB41" s="5">
        <v>65</v>
      </c>
      <c r="AC41" s="5">
        <v>32</v>
      </c>
      <c r="AD41" s="5" t="s">
        <v>314</v>
      </c>
      <c r="AE41" s="5" t="s">
        <v>315</v>
      </c>
      <c r="AF41" s="5" t="s">
        <v>316</v>
      </c>
    </row>
    <row r="42" spans="1:32" x14ac:dyDescent="0.25">
      <c r="A42" s="55"/>
      <c r="B42" s="7">
        <v>1</v>
      </c>
      <c r="C42" s="7">
        <v>1</v>
      </c>
      <c r="D42" s="7">
        <v>2</v>
      </c>
      <c r="E42" s="7" t="s">
        <v>10</v>
      </c>
      <c r="F42" s="7">
        <v>7914</v>
      </c>
      <c r="G42" s="7">
        <v>32</v>
      </c>
      <c r="H42" s="7" t="s">
        <v>317</v>
      </c>
      <c r="I42" s="7" t="s">
        <v>318</v>
      </c>
      <c r="J42" s="7" t="s">
        <v>319</v>
      </c>
      <c r="L42" s="55"/>
      <c r="M42" s="7">
        <v>1</v>
      </c>
      <c r="N42" s="7">
        <v>1</v>
      </c>
      <c r="O42" s="7">
        <v>2</v>
      </c>
      <c r="P42" s="7" t="s">
        <v>14</v>
      </c>
      <c r="Q42" s="7">
        <v>501</v>
      </c>
      <c r="R42" s="7">
        <v>32</v>
      </c>
      <c r="S42" s="7" t="s">
        <v>320</v>
      </c>
      <c r="T42" s="7" t="s">
        <v>321</v>
      </c>
      <c r="U42" s="7" t="s">
        <v>322</v>
      </c>
      <c r="W42" s="55"/>
      <c r="X42" s="7">
        <v>1</v>
      </c>
      <c r="Y42" s="7">
        <v>1</v>
      </c>
      <c r="Z42" s="7">
        <v>2</v>
      </c>
      <c r="AA42" s="7" t="s">
        <v>18</v>
      </c>
      <c r="AB42" s="7">
        <v>65</v>
      </c>
      <c r="AC42" s="7">
        <v>32</v>
      </c>
      <c r="AD42" s="7" t="s">
        <v>35</v>
      </c>
      <c r="AE42" s="7" t="s">
        <v>323</v>
      </c>
      <c r="AF42" s="7" t="s">
        <v>324</v>
      </c>
    </row>
    <row r="43" spans="1:32" x14ac:dyDescent="0.25">
      <c r="A43" s="55"/>
      <c r="B43" s="5">
        <v>1</v>
      </c>
      <c r="C43" s="5">
        <v>2</v>
      </c>
      <c r="D43" s="5">
        <v>2</v>
      </c>
      <c r="E43" s="5" t="s">
        <v>10</v>
      </c>
      <c r="F43" s="5">
        <v>7914</v>
      </c>
      <c r="G43" s="5">
        <v>32</v>
      </c>
      <c r="H43" s="5" t="s">
        <v>325</v>
      </c>
      <c r="I43" s="5" t="s">
        <v>326</v>
      </c>
      <c r="J43" s="5" t="s">
        <v>327</v>
      </c>
      <c r="L43" s="55"/>
      <c r="M43" s="5">
        <v>1</v>
      </c>
      <c r="N43" s="5">
        <v>2</v>
      </c>
      <c r="O43" s="5">
        <v>2</v>
      </c>
      <c r="P43" s="5" t="s">
        <v>14</v>
      </c>
      <c r="Q43" s="5">
        <v>501</v>
      </c>
      <c r="R43" s="5">
        <v>32</v>
      </c>
      <c r="S43" s="5" t="s">
        <v>328</v>
      </c>
      <c r="T43" s="5" t="s">
        <v>329</v>
      </c>
      <c r="U43" s="5" t="s">
        <v>330</v>
      </c>
      <c r="W43" s="55"/>
      <c r="X43" s="5">
        <v>1</v>
      </c>
      <c r="Y43" s="5">
        <v>2</v>
      </c>
      <c r="Z43" s="5">
        <v>2</v>
      </c>
      <c r="AA43" s="5" t="s">
        <v>18</v>
      </c>
      <c r="AB43" s="5">
        <v>65</v>
      </c>
      <c r="AC43" s="5">
        <v>32</v>
      </c>
      <c r="AD43" s="5" t="s">
        <v>25</v>
      </c>
      <c r="AE43" s="5" t="s">
        <v>331</v>
      </c>
      <c r="AF43" s="5" t="s">
        <v>332</v>
      </c>
    </row>
    <row r="44" spans="1:32" x14ac:dyDescent="0.25">
      <c r="A44" s="55"/>
      <c r="B44" s="7">
        <v>2</v>
      </c>
      <c r="C44" s="7">
        <v>1</v>
      </c>
      <c r="D44" s="7">
        <v>1</v>
      </c>
      <c r="E44" s="7" t="s">
        <v>10</v>
      </c>
      <c r="F44" s="7">
        <v>7914</v>
      </c>
      <c r="G44" s="7">
        <v>32</v>
      </c>
      <c r="H44" s="7" t="s">
        <v>333</v>
      </c>
      <c r="I44" s="7" t="s">
        <v>334</v>
      </c>
      <c r="J44" s="7" t="s">
        <v>335</v>
      </c>
      <c r="L44" s="55"/>
      <c r="M44" s="7">
        <v>2</v>
      </c>
      <c r="N44" s="7">
        <v>1</v>
      </c>
      <c r="O44" s="7">
        <v>1</v>
      </c>
      <c r="P44" s="7" t="s">
        <v>14</v>
      </c>
      <c r="Q44" s="7">
        <v>501</v>
      </c>
      <c r="R44" s="7">
        <v>32</v>
      </c>
      <c r="S44" s="7" t="s">
        <v>336</v>
      </c>
      <c r="T44" s="7" t="s">
        <v>337</v>
      </c>
      <c r="U44" s="7" t="s">
        <v>338</v>
      </c>
      <c r="W44" s="55"/>
      <c r="X44" s="7">
        <v>2</v>
      </c>
      <c r="Y44" s="7">
        <v>1</v>
      </c>
      <c r="Z44" s="7">
        <v>1</v>
      </c>
      <c r="AA44" s="7" t="s">
        <v>18</v>
      </c>
      <c r="AB44" s="7">
        <v>65</v>
      </c>
      <c r="AC44" s="7">
        <v>32</v>
      </c>
      <c r="AD44" s="7" t="s">
        <v>178</v>
      </c>
      <c r="AE44" s="7" t="s">
        <v>339</v>
      </c>
      <c r="AF44" s="7" t="s">
        <v>340</v>
      </c>
    </row>
    <row r="45" spans="1:32" x14ac:dyDescent="0.25">
      <c r="A45" s="55"/>
      <c r="B45" s="5">
        <v>2</v>
      </c>
      <c r="C45" s="5">
        <v>2</v>
      </c>
      <c r="D45" s="5">
        <v>1</v>
      </c>
      <c r="E45" s="5" t="s">
        <v>10</v>
      </c>
      <c r="F45" s="5">
        <v>7914</v>
      </c>
      <c r="G45" s="5">
        <v>32</v>
      </c>
      <c r="H45" s="5" t="s">
        <v>341</v>
      </c>
      <c r="I45" s="5" t="s">
        <v>342</v>
      </c>
      <c r="J45" s="5" t="s">
        <v>343</v>
      </c>
      <c r="L45" s="55"/>
      <c r="M45" s="5">
        <v>2</v>
      </c>
      <c r="N45" s="5">
        <v>2</v>
      </c>
      <c r="O45" s="5">
        <v>1</v>
      </c>
      <c r="P45" s="5" t="s">
        <v>14</v>
      </c>
      <c r="Q45" s="5">
        <v>501</v>
      </c>
      <c r="R45" s="5">
        <v>32</v>
      </c>
      <c r="S45" s="5" t="s">
        <v>344</v>
      </c>
      <c r="T45" s="5" t="s">
        <v>345</v>
      </c>
      <c r="U45" s="5" t="s">
        <v>346</v>
      </c>
      <c r="W45" s="55"/>
      <c r="X45" s="5">
        <v>2</v>
      </c>
      <c r="Y45" s="5">
        <v>2</v>
      </c>
      <c r="Z45" s="5">
        <v>1</v>
      </c>
      <c r="AA45" s="5" t="s">
        <v>18</v>
      </c>
      <c r="AB45" s="5">
        <v>65</v>
      </c>
      <c r="AC45" s="5">
        <v>32</v>
      </c>
      <c r="AD45" s="5" t="s">
        <v>347</v>
      </c>
      <c r="AE45" s="5" t="s">
        <v>348</v>
      </c>
      <c r="AF45" s="5" t="s">
        <v>349</v>
      </c>
    </row>
    <row r="46" spans="1:32" x14ac:dyDescent="0.25">
      <c r="A46" s="55"/>
      <c r="B46" s="7">
        <v>2</v>
      </c>
      <c r="C46" s="7">
        <v>1</v>
      </c>
      <c r="D46" s="7">
        <v>2</v>
      </c>
      <c r="E46" s="7" t="s">
        <v>10</v>
      </c>
      <c r="F46" s="7">
        <v>7914</v>
      </c>
      <c r="G46" s="7">
        <v>32</v>
      </c>
      <c r="H46" s="7" t="s">
        <v>350</v>
      </c>
      <c r="I46" s="7" t="s">
        <v>351</v>
      </c>
      <c r="J46" s="7" t="s">
        <v>352</v>
      </c>
      <c r="L46" s="55"/>
      <c r="M46" s="7">
        <v>2</v>
      </c>
      <c r="N46" s="7">
        <v>1</v>
      </c>
      <c r="O46" s="7">
        <v>2</v>
      </c>
      <c r="P46" s="7" t="s">
        <v>14</v>
      </c>
      <c r="Q46" s="7">
        <v>501</v>
      </c>
      <c r="R46" s="7">
        <v>32</v>
      </c>
      <c r="S46" s="7" t="s">
        <v>353</v>
      </c>
      <c r="T46" s="7" t="s">
        <v>354</v>
      </c>
      <c r="U46" s="7" t="s">
        <v>355</v>
      </c>
      <c r="W46" s="55"/>
      <c r="X46" s="7">
        <v>2</v>
      </c>
      <c r="Y46" s="7">
        <v>1</v>
      </c>
      <c r="Z46" s="7">
        <v>2</v>
      </c>
      <c r="AA46" s="7" t="s">
        <v>18</v>
      </c>
      <c r="AB46" s="7">
        <v>65</v>
      </c>
      <c r="AC46" s="7">
        <v>32</v>
      </c>
      <c r="AD46" s="7" t="s">
        <v>43</v>
      </c>
      <c r="AE46" s="7" t="s">
        <v>356</v>
      </c>
      <c r="AF46" s="7" t="s">
        <v>357</v>
      </c>
    </row>
    <row r="47" spans="1:32" x14ac:dyDescent="0.25">
      <c r="A47" s="55"/>
      <c r="B47" s="5">
        <v>2</v>
      </c>
      <c r="C47" s="5">
        <v>2</v>
      </c>
      <c r="D47" s="5">
        <v>2</v>
      </c>
      <c r="E47" s="5" t="s">
        <v>10</v>
      </c>
      <c r="F47" s="5">
        <v>7914</v>
      </c>
      <c r="G47" s="5">
        <v>32</v>
      </c>
      <c r="H47" s="5" t="s">
        <v>358</v>
      </c>
      <c r="I47" s="5" t="s">
        <v>359</v>
      </c>
      <c r="J47" s="5" t="s">
        <v>360</v>
      </c>
      <c r="L47" s="55"/>
      <c r="M47" s="5">
        <v>2</v>
      </c>
      <c r="N47" s="5">
        <v>2</v>
      </c>
      <c r="O47" s="5">
        <v>2</v>
      </c>
      <c r="P47" s="5" t="s">
        <v>14</v>
      </c>
      <c r="Q47" s="5">
        <v>501</v>
      </c>
      <c r="R47" s="5">
        <v>32</v>
      </c>
      <c r="S47" s="5" t="s">
        <v>361</v>
      </c>
      <c r="T47" s="5" t="s">
        <v>362</v>
      </c>
      <c r="U47" s="5" t="s">
        <v>363</v>
      </c>
      <c r="W47" s="55"/>
      <c r="X47" s="5">
        <v>2</v>
      </c>
      <c r="Y47" s="5">
        <v>2</v>
      </c>
      <c r="Z47" s="5">
        <v>2</v>
      </c>
      <c r="AA47" s="5" t="s">
        <v>18</v>
      </c>
      <c r="AB47" s="5">
        <v>65</v>
      </c>
      <c r="AC47" s="5">
        <v>32</v>
      </c>
      <c r="AD47" s="5" t="s">
        <v>364</v>
      </c>
      <c r="AE47" s="5" t="s">
        <v>266</v>
      </c>
      <c r="AF47" s="5" t="s">
        <v>365</v>
      </c>
    </row>
    <row r="48" spans="1:32" x14ac:dyDescent="0.25">
      <c r="A48" s="55"/>
      <c r="B48" s="7">
        <v>4</v>
      </c>
      <c r="C48" s="7">
        <v>1</v>
      </c>
      <c r="D48" s="7">
        <v>1</v>
      </c>
      <c r="E48" s="7" t="s">
        <v>10</v>
      </c>
      <c r="F48" s="7">
        <v>7914</v>
      </c>
      <c r="G48" s="7">
        <v>32</v>
      </c>
      <c r="H48" s="7" t="s">
        <v>366</v>
      </c>
      <c r="I48" s="7" t="s">
        <v>367</v>
      </c>
      <c r="J48" s="7" t="s">
        <v>368</v>
      </c>
      <c r="L48" s="55"/>
      <c r="M48" s="7">
        <v>4</v>
      </c>
      <c r="N48" s="7">
        <v>1</v>
      </c>
      <c r="O48" s="7">
        <v>1</v>
      </c>
      <c r="P48" s="7" t="s">
        <v>14</v>
      </c>
      <c r="Q48" s="7">
        <v>501</v>
      </c>
      <c r="R48" s="7">
        <v>32</v>
      </c>
      <c r="S48" s="7" t="s">
        <v>369</v>
      </c>
      <c r="T48" s="7" t="s">
        <v>370</v>
      </c>
      <c r="U48" s="7" t="s">
        <v>371</v>
      </c>
      <c r="W48" s="55"/>
      <c r="X48" s="7">
        <v>4</v>
      </c>
      <c r="Y48" s="7">
        <v>1</v>
      </c>
      <c r="Z48" s="7">
        <v>1</v>
      </c>
      <c r="AA48" s="7" t="s">
        <v>18</v>
      </c>
      <c r="AB48" s="7">
        <v>65</v>
      </c>
      <c r="AC48" s="7">
        <v>32</v>
      </c>
      <c r="AD48" s="7" t="s">
        <v>372</v>
      </c>
      <c r="AE48" s="7" t="s">
        <v>202</v>
      </c>
      <c r="AF48" s="7" t="s">
        <v>373</v>
      </c>
    </row>
    <row r="49" spans="1:32" x14ac:dyDescent="0.25">
      <c r="A49" s="55"/>
      <c r="B49" s="5">
        <v>4</v>
      </c>
      <c r="C49" s="5">
        <v>2</v>
      </c>
      <c r="D49" s="5">
        <v>1</v>
      </c>
      <c r="E49" s="5" t="s">
        <v>10</v>
      </c>
      <c r="F49" s="5">
        <v>7914</v>
      </c>
      <c r="G49" s="5">
        <v>32</v>
      </c>
      <c r="H49" s="5" t="s">
        <v>374</v>
      </c>
      <c r="I49" s="5" t="s">
        <v>375</v>
      </c>
      <c r="J49" s="5" t="s">
        <v>376</v>
      </c>
      <c r="L49" s="55"/>
      <c r="M49" s="5">
        <v>4</v>
      </c>
      <c r="N49" s="5">
        <v>2</v>
      </c>
      <c r="O49" s="5">
        <v>1</v>
      </c>
      <c r="P49" s="5" t="s">
        <v>14</v>
      </c>
      <c r="Q49" s="5">
        <v>501</v>
      </c>
      <c r="R49" s="5">
        <v>32</v>
      </c>
      <c r="S49" s="5" t="s">
        <v>244</v>
      </c>
      <c r="T49" s="5" t="s">
        <v>377</v>
      </c>
      <c r="U49" s="5" t="s">
        <v>378</v>
      </c>
      <c r="W49" s="55"/>
      <c r="X49" s="5">
        <v>4</v>
      </c>
      <c r="Y49" s="5">
        <v>2</v>
      </c>
      <c r="Z49" s="5">
        <v>1</v>
      </c>
      <c r="AA49" s="5" t="s">
        <v>18</v>
      </c>
      <c r="AB49" s="5">
        <v>65</v>
      </c>
      <c r="AC49" s="5">
        <v>32</v>
      </c>
      <c r="AD49" s="5" t="s">
        <v>46</v>
      </c>
      <c r="AE49" s="5" t="s">
        <v>73</v>
      </c>
      <c r="AF49" s="5" t="s">
        <v>379</v>
      </c>
    </row>
    <row r="50" spans="1:32" x14ac:dyDescent="0.25">
      <c r="A50" s="55"/>
      <c r="B50" s="7">
        <v>4</v>
      </c>
      <c r="C50" s="7">
        <v>1</v>
      </c>
      <c r="D50" s="7">
        <v>2</v>
      </c>
      <c r="E50" s="7" t="s">
        <v>10</v>
      </c>
      <c r="F50" s="7">
        <v>7914</v>
      </c>
      <c r="G50" s="7">
        <v>32</v>
      </c>
      <c r="H50" s="7" t="s">
        <v>380</v>
      </c>
      <c r="I50" s="7" t="s">
        <v>381</v>
      </c>
      <c r="J50" s="7" t="s">
        <v>382</v>
      </c>
      <c r="L50" s="55"/>
      <c r="M50" s="7">
        <v>4</v>
      </c>
      <c r="N50" s="7">
        <v>1</v>
      </c>
      <c r="O50" s="7">
        <v>2</v>
      </c>
      <c r="P50" s="7" t="s">
        <v>14</v>
      </c>
      <c r="Q50" s="7">
        <v>501</v>
      </c>
      <c r="R50" s="7">
        <v>32</v>
      </c>
      <c r="S50" s="7" t="s">
        <v>347</v>
      </c>
      <c r="T50" s="7" t="s">
        <v>356</v>
      </c>
      <c r="U50" s="7" t="s">
        <v>383</v>
      </c>
      <c r="W50" s="55"/>
      <c r="X50" s="7">
        <v>4</v>
      </c>
      <c r="Y50" s="7">
        <v>1</v>
      </c>
      <c r="Z50" s="7">
        <v>2</v>
      </c>
      <c r="AA50" s="7" t="s">
        <v>18</v>
      </c>
      <c r="AB50" s="7">
        <v>65</v>
      </c>
      <c r="AC50" s="7">
        <v>32</v>
      </c>
      <c r="AD50" s="7" t="s">
        <v>225</v>
      </c>
      <c r="AE50" s="7" t="s">
        <v>372</v>
      </c>
      <c r="AF50" s="7" t="s">
        <v>384</v>
      </c>
    </row>
    <row r="51" spans="1:32" x14ac:dyDescent="0.25">
      <c r="A51" s="55"/>
      <c r="B51" s="5">
        <v>4</v>
      </c>
      <c r="C51" s="5">
        <v>2</v>
      </c>
      <c r="D51" s="5">
        <v>2</v>
      </c>
      <c r="E51" s="5" t="s">
        <v>10</v>
      </c>
      <c r="F51" s="5">
        <v>7914</v>
      </c>
      <c r="G51" s="5">
        <v>32</v>
      </c>
      <c r="H51" s="5" t="s">
        <v>385</v>
      </c>
      <c r="I51" s="5" t="s">
        <v>386</v>
      </c>
      <c r="J51" s="5" t="s">
        <v>387</v>
      </c>
      <c r="L51" s="55"/>
      <c r="M51" s="5">
        <v>4</v>
      </c>
      <c r="N51" s="5">
        <v>2</v>
      </c>
      <c r="O51" s="5">
        <v>2</v>
      </c>
      <c r="P51" s="5" t="s">
        <v>14</v>
      </c>
      <c r="Q51" s="5">
        <v>501</v>
      </c>
      <c r="R51" s="5">
        <v>32</v>
      </c>
      <c r="S51" s="5" t="s">
        <v>331</v>
      </c>
      <c r="T51" s="5" t="s">
        <v>388</v>
      </c>
      <c r="U51" s="5" t="s">
        <v>389</v>
      </c>
      <c r="W51" s="55"/>
      <c r="X51" s="5">
        <v>4</v>
      </c>
      <c r="Y51" s="5">
        <v>2</v>
      </c>
      <c r="Z51" s="5">
        <v>2</v>
      </c>
      <c r="AA51" s="5" t="s">
        <v>18</v>
      </c>
      <c r="AB51" s="5">
        <v>65</v>
      </c>
      <c r="AC51" s="5">
        <v>32</v>
      </c>
      <c r="AD51" s="5" t="s">
        <v>224</v>
      </c>
      <c r="AE51" s="5" t="s">
        <v>29</v>
      </c>
      <c r="AF51" s="5" t="s">
        <v>390</v>
      </c>
    </row>
    <row r="52" spans="1:32" x14ac:dyDescent="0.25">
      <c r="A52" s="55"/>
      <c r="B52" s="7">
        <v>8</v>
      </c>
      <c r="C52" s="7">
        <v>1</v>
      </c>
      <c r="D52" s="7">
        <v>1</v>
      </c>
      <c r="E52" s="7" t="s">
        <v>10</v>
      </c>
      <c r="F52" s="7">
        <v>7914</v>
      </c>
      <c r="G52" s="7">
        <v>32</v>
      </c>
      <c r="H52" s="7" t="s">
        <v>391</v>
      </c>
      <c r="I52" s="7" t="s">
        <v>392</v>
      </c>
      <c r="J52" s="7" t="s">
        <v>393</v>
      </c>
      <c r="L52" s="55"/>
      <c r="M52" s="7">
        <v>8</v>
      </c>
      <c r="N52" s="7">
        <v>1</v>
      </c>
      <c r="O52" s="7">
        <v>1</v>
      </c>
      <c r="P52" s="7" t="s">
        <v>14</v>
      </c>
      <c r="Q52" s="7">
        <v>501</v>
      </c>
      <c r="R52" s="7">
        <v>32</v>
      </c>
      <c r="S52" s="7" t="s">
        <v>306</v>
      </c>
      <c r="T52" s="7" t="s">
        <v>364</v>
      </c>
      <c r="U52" s="7" t="s">
        <v>394</v>
      </c>
      <c r="W52" s="55"/>
      <c r="X52" s="7">
        <v>8</v>
      </c>
      <c r="Y52" s="7">
        <v>1</v>
      </c>
      <c r="Z52" s="7">
        <v>1</v>
      </c>
      <c r="AA52" s="7" t="s">
        <v>18</v>
      </c>
      <c r="AB52" s="7">
        <v>65</v>
      </c>
      <c r="AC52" s="7">
        <v>32</v>
      </c>
      <c r="AD52" s="7" t="s">
        <v>38</v>
      </c>
      <c r="AE52" s="7" t="s">
        <v>47</v>
      </c>
      <c r="AF52" s="7" t="s">
        <v>395</v>
      </c>
    </row>
    <row r="53" spans="1:32" x14ac:dyDescent="0.25">
      <c r="A53" s="55"/>
      <c r="B53" s="5">
        <v>8</v>
      </c>
      <c r="C53" s="5">
        <v>2</v>
      </c>
      <c r="D53" s="5">
        <v>1</v>
      </c>
      <c r="E53" s="5" t="s">
        <v>10</v>
      </c>
      <c r="F53" s="5">
        <v>7914</v>
      </c>
      <c r="G53" s="5">
        <v>32</v>
      </c>
      <c r="H53" s="5" t="s">
        <v>396</v>
      </c>
      <c r="I53" s="5" t="s">
        <v>397</v>
      </c>
      <c r="J53" s="5" t="s">
        <v>398</v>
      </c>
      <c r="L53" s="55"/>
      <c r="M53" s="5">
        <v>8</v>
      </c>
      <c r="N53" s="5">
        <v>2</v>
      </c>
      <c r="O53" s="5">
        <v>1</v>
      </c>
      <c r="P53" s="5" t="s">
        <v>14</v>
      </c>
      <c r="Q53" s="5">
        <v>501</v>
      </c>
      <c r="R53" s="5">
        <v>32</v>
      </c>
      <c r="S53" s="5" t="s">
        <v>399</v>
      </c>
      <c r="T53" s="5" t="s">
        <v>331</v>
      </c>
      <c r="U53" s="5" t="s">
        <v>400</v>
      </c>
      <c r="W53" s="55"/>
      <c r="X53" s="5">
        <v>8</v>
      </c>
      <c r="Y53" s="5">
        <v>2</v>
      </c>
      <c r="Z53" s="5">
        <v>1</v>
      </c>
      <c r="AA53" s="5" t="s">
        <v>18</v>
      </c>
      <c r="AB53" s="5">
        <v>65</v>
      </c>
      <c r="AC53" s="5">
        <v>32</v>
      </c>
      <c r="AD53" s="5" t="s">
        <v>38</v>
      </c>
      <c r="AE53" s="5" t="s">
        <v>47</v>
      </c>
      <c r="AF53" s="5" t="s">
        <v>401</v>
      </c>
    </row>
    <row r="54" spans="1:32" x14ac:dyDescent="0.25">
      <c r="A54" s="55"/>
      <c r="B54" s="7">
        <v>8</v>
      </c>
      <c r="C54" s="7">
        <v>1</v>
      </c>
      <c r="D54" s="7">
        <v>2</v>
      </c>
      <c r="E54" s="7" t="s">
        <v>10</v>
      </c>
      <c r="F54" s="7">
        <v>7914</v>
      </c>
      <c r="G54" s="7">
        <v>32</v>
      </c>
      <c r="H54" s="7" t="s">
        <v>402</v>
      </c>
      <c r="I54" s="7" t="s">
        <v>403</v>
      </c>
      <c r="J54" s="7" t="s">
        <v>404</v>
      </c>
      <c r="L54" s="55"/>
      <c r="M54" s="7">
        <v>8</v>
      </c>
      <c r="N54" s="7">
        <v>1</v>
      </c>
      <c r="O54" s="7">
        <v>2</v>
      </c>
      <c r="P54" s="7" t="s">
        <v>14</v>
      </c>
      <c r="Q54" s="7">
        <v>501</v>
      </c>
      <c r="R54" s="7">
        <v>32</v>
      </c>
      <c r="S54" s="7" t="s">
        <v>16</v>
      </c>
      <c r="T54" s="7" t="s">
        <v>43</v>
      </c>
      <c r="U54" s="7" t="s">
        <v>405</v>
      </c>
      <c r="W54" s="55"/>
      <c r="X54" s="7">
        <v>8</v>
      </c>
      <c r="Y54" s="7">
        <v>1</v>
      </c>
      <c r="Z54" s="7">
        <v>2</v>
      </c>
      <c r="AA54" s="7" t="s">
        <v>18</v>
      </c>
      <c r="AB54" s="7">
        <v>65</v>
      </c>
      <c r="AC54" s="7">
        <v>32</v>
      </c>
      <c r="AD54" s="7" t="s">
        <v>261</v>
      </c>
      <c r="AE54" s="7" t="s">
        <v>217</v>
      </c>
      <c r="AF54" s="7" t="s">
        <v>406</v>
      </c>
    </row>
    <row r="55" spans="1:32" x14ac:dyDescent="0.25">
      <c r="A55" s="55"/>
      <c r="B55" s="5">
        <v>8</v>
      </c>
      <c r="C55" s="5">
        <v>2</v>
      </c>
      <c r="D55" s="5">
        <v>2</v>
      </c>
      <c r="E55" s="5" t="s">
        <v>10</v>
      </c>
      <c r="F55" s="5">
        <v>7914</v>
      </c>
      <c r="G55" s="5">
        <v>32</v>
      </c>
      <c r="H55" s="5" t="s">
        <v>407</v>
      </c>
      <c r="I55" s="5" t="s">
        <v>408</v>
      </c>
      <c r="J55" s="5" t="s">
        <v>409</v>
      </c>
      <c r="L55" s="55"/>
      <c r="M55" s="5">
        <v>8</v>
      </c>
      <c r="N55" s="5">
        <v>2</v>
      </c>
      <c r="O55" s="5">
        <v>2</v>
      </c>
      <c r="P55" s="5" t="s">
        <v>14</v>
      </c>
      <c r="Q55" s="5">
        <v>501</v>
      </c>
      <c r="R55" s="5">
        <v>32</v>
      </c>
      <c r="S55" s="5" t="s">
        <v>71</v>
      </c>
      <c r="T55" s="5" t="s">
        <v>410</v>
      </c>
      <c r="U55" s="5" t="s">
        <v>411</v>
      </c>
      <c r="W55" s="55"/>
      <c r="X55" s="5">
        <v>8</v>
      </c>
      <c r="Y55" s="5">
        <v>2</v>
      </c>
      <c r="Z55" s="5">
        <v>2</v>
      </c>
      <c r="AA55" s="5" t="s">
        <v>18</v>
      </c>
      <c r="AB55" s="5">
        <v>65</v>
      </c>
      <c r="AC55" s="5">
        <v>32</v>
      </c>
      <c r="AD55" s="5" t="s">
        <v>73</v>
      </c>
      <c r="AE55" s="5" t="s">
        <v>81</v>
      </c>
      <c r="AF55" s="5" t="s">
        <v>412</v>
      </c>
    </row>
    <row r="56" spans="1:32" x14ac:dyDescent="0.25">
      <c r="A56" s="55"/>
      <c r="B56" s="7">
        <v>24</v>
      </c>
      <c r="C56" s="7">
        <v>1</v>
      </c>
      <c r="D56" s="7">
        <v>1</v>
      </c>
      <c r="E56" s="7" t="s">
        <v>10</v>
      </c>
      <c r="F56" s="7">
        <v>7914</v>
      </c>
      <c r="G56" s="7">
        <v>32</v>
      </c>
      <c r="H56" s="7" t="s">
        <v>413</v>
      </c>
      <c r="I56" s="7" t="s">
        <v>414</v>
      </c>
      <c r="J56" s="7" t="s">
        <v>415</v>
      </c>
      <c r="L56" s="55"/>
      <c r="M56" s="7">
        <v>24</v>
      </c>
      <c r="N56" s="7">
        <v>1</v>
      </c>
      <c r="O56" s="7">
        <v>1</v>
      </c>
      <c r="P56" s="7" t="s">
        <v>14</v>
      </c>
      <c r="Q56" s="7">
        <v>501</v>
      </c>
      <c r="R56" s="7">
        <v>32</v>
      </c>
      <c r="S56" s="7" t="s">
        <v>339</v>
      </c>
      <c r="T56" s="7" t="s">
        <v>416</v>
      </c>
      <c r="U56" s="7" t="s">
        <v>417</v>
      </c>
      <c r="W56" s="55"/>
      <c r="X56" s="7">
        <v>24</v>
      </c>
      <c r="Y56" s="7">
        <v>1</v>
      </c>
      <c r="Z56" s="7">
        <v>1</v>
      </c>
      <c r="AA56" s="7" t="s">
        <v>18</v>
      </c>
      <c r="AB56" s="7">
        <v>65</v>
      </c>
      <c r="AC56" s="7">
        <v>32</v>
      </c>
      <c r="AD56" s="7" t="s">
        <v>46</v>
      </c>
      <c r="AE56" s="7" t="s">
        <v>47</v>
      </c>
      <c r="AF56" s="7" t="s">
        <v>418</v>
      </c>
    </row>
    <row r="57" spans="1:32" x14ac:dyDescent="0.25">
      <c r="A57" s="55"/>
      <c r="B57" s="5">
        <v>24</v>
      </c>
      <c r="C57" s="5">
        <v>2</v>
      </c>
      <c r="D57" s="5">
        <v>1</v>
      </c>
      <c r="E57" s="5" t="s">
        <v>10</v>
      </c>
      <c r="F57" s="5">
        <v>7914</v>
      </c>
      <c r="G57" s="5">
        <v>32</v>
      </c>
      <c r="H57" s="5" t="s">
        <v>419</v>
      </c>
      <c r="I57" s="5" t="s">
        <v>420</v>
      </c>
      <c r="J57" s="5" t="s">
        <v>421</v>
      </c>
      <c r="L57" s="55"/>
      <c r="M57" s="5">
        <v>24</v>
      </c>
      <c r="N57" s="5">
        <v>2</v>
      </c>
      <c r="O57" s="5">
        <v>1</v>
      </c>
      <c r="P57" s="5" t="s">
        <v>14</v>
      </c>
      <c r="Q57" s="5">
        <v>501</v>
      </c>
      <c r="R57" s="5">
        <v>32</v>
      </c>
      <c r="S57" s="5" t="s">
        <v>422</v>
      </c>
      <c r="T57" s="5" t="s">
        <v>423</v>
      </c>
      <c r="U57" s="5" t="s">
        <v>424</v>
      </c>
      <c r="W57" s="55"/>
      <c r="X57" s="5">
        <v>24</v>
      </c>
      <c r="Y57" s="5">
        <v>2</v>
      </c>
      <c r="Z57" s="5">
        <v>1</v>
      </c>
      <c r="AA57" s="5" t="s">
        <v>18</v>
      </c>
      <c r="AB57" s="5">
        <v>65</v>
      </c>
      <c r="AC57" s="5">
        <v>32</v>
      </c>
      <c r="AD57" s="5" t="s">
        <v>55</v>
      </c>
      <c r="AE57" s="5" t="s">
        <v>425</v>
      </c>
      <c r="AF57" s="5" t="s">
        <v>426</v>
      </c>
    </row>
    <row r="58" spans="1:32" x14ac:dyDescent="0.25">
      <c r="A58" s="55"/>
      <c r="B58" s="7">
        <v>24</v>
      </c>
      <c r="C58" s="7">
        <v>1</v>
      </c>
      <c r="D58" s="7">
        <v>2</v>
      </c>
      <c r="E58" s="7" t="s">
        <v>10</v>
      </c>
      <c r="F58" s="7">
        <v>7914</v>
      </c>
      <c r="G58" s="7">
        <v>32</v>
      </c>
      <c r="H58" s="7" t="s">
        <v>427</v>
      </c>
      <c r="I58" s="7" t="s">
        <v>428</v>
      </c>
      <c r="J58" s="7" t="s">
        <v>429</v>
      </c>
      <c r="L58" s="55"/>
      <c r="M58" s="7">
        <v>24</v>
      </c>
      <c r="N58" s="7">
        <v>1</v>
      </c>
      <c r="O58" s="7">
        <v>2</v>
      </c>
      <c r="P58" s="7" t="s">
        <v>14</v>
      </c>
      <c r="Q58" s="7">
        <v>501</v>
      </c>
      <c r="R58" s="7">
        <v>32</v>
      </c>
      <c r="S58" s="7" t="s">
        <v>430</v>
      </c>
      <c r="T58" s="7" t="s">
        <v>34</v>
      </c>
      <c r="U58" s="7" t="s">
        <v>256</v>
      </c>
      <c r="W58" s="55"/>
      <c r="X58" s="7">
        <v>24</v>
      </c>
      <c r="Y58" s="7">
        <v>1</v>
      </c>
      <c r="Z58" s="7">
        <v>2</v>
      </c>
      <c r="AA58" s="7" t="s">
        <v>18</v>
      </c>
      <c r="AB58" s="7">
        <v>65</v>
      </c>
      <c r="AC58" s="7">
        <v>32</v>
      </c>
      <c r="AD58" s="7" t="s">
        <v>47</v>
      </c>
      <c r="AE58" s="7" t="s">
        <v>81</v>
      </c>
      <c r="AF58" s="7" t="s">
        <v>431</v>
      </c>
    </row>
    <row r="59" spans="1:32" x14ac:dyDescent="0.25">
      <c r="A59" s="55"/>
      <c r="B59" s="5">
        <v>24</v>
      </c>
      <c r="C59" s="5">
        <v>2</v>
      </c>
      <c r="D59" s="5">
        <v>2</v>
      </c>
      <c r="E59" s="5" t="s">
        <v>10</v>
      </c>
      <c r="F59" s="5">
        <v>7914</v>
      </c>
      <c r="G59" s="5">
        <v>32</v>
      </c>
      <c r="H59" s="5" t="s">
        <v>432</v>
      </c>
      <c r="I59" s="5" t="s">
        <v>433</v>
      </c>
      <c r="J59" s="5" t="s">
        <v>434</v>
      </c>
      <c r="L59" s="55"/>
      <c r="M59" s="5">
        <v>24</v>
      </c>
      <c r="N59" s="5">
        <v>2</v>
      </c>
      <c r="O59" s="5">
        <v>2</v>
      </c>
      <c r="P59" s="5" t="s">
        <v>14</v>
      </c>
      <c r="Q59" s="5">
        <v>501</v>
      </c>
      <c r="R59" s="5">
        <v>32</v>
      </c>
      <c r="S59" s="5" t="s">
        <v>231</v>
      </c>
      <c r="T59" s="5" t="s">
        <v>435</v>
      </c>
      <c r="U59" s="5" t="s">
        <v>424</v>
      </c>
      <c r="W59" s="55"/>
      <c r="X59" s="5">
        <v>24</v>
      </c>
      <c r="Y59" s="5">
        <v>2</v>
      </c>
      <c r="Z59" s="5">
        <v>2</v>
      </c>
      <c r="AA59" s="5" t="s">
        <v>18</v>
      </c>
      <c r="AB59" s="5">
        <v>65</v>
      </c>
      <c r="AC59" s="5">
        <v>32</v>
      </c>
      <c r="AD59" s="5" t="s">
        <v>436</v>
      </c>
      <c r="AE59" s="5" t="s">
        <v>55</v>
      </c>
      <c r="AF59" s="5" t="s">
        <v>437</v>
      </c>
    </row>
    <row r="60" spans="1:32" ht="15.75" thickBot="1" x14ac:dyDescent="0.3">
      <c r="A60" s="9"/>
      <c r="B60" s="2" t="s">
        <v>0</v>
      </c>
      <c r="C60" s="2" t="s">
        <v>1</v>
      </c>
      <c r="D60" s="2" t="s">
        <v>2</v>
      </c>
      <c r="E60" s="2" t="s">
        <v>3</v>
      </c>
      <c r="F60" s="2" t="s">
        <v>4</v>
      </c>
      <c r="G60" s="2" t="s">
        <v>5</v>
      </c>
      <c r="H60" s="2" t="s">
        <v>6</v>
      </c>
      <c r="I60" s="2" t="s">
        <v>7</v>
      </c>
      <c r="J60" s="2" t="s">
        <v>8</v>
      </c>
      <c r="L60" s="9"/>
      <c r="M60" s="2" t="s">
        <v>0</v>
      </c>
      <c r="N60" s="2" t="s">
        <v>1</v>
      </c>
      <c r="O60" s="2" t="s">
        <v>2</v>
      </c>
      <c r="P60" s="2" t="s">
        <v>3</v>
      </c>
      <c r="Q60" s="2" t="s">
        <v>4</v>
      </c>
      <c r="R60" s="2" t="s">
        <v>5</v>
      </c>
      <c r="S60" s="2" t="s">
        <v>6</v>
      </c>
      <c r="T60" s="2" t="s">
        <v>7</v>
      </c>
      <c r="U60" s="2" t="s">
        <v>8</v>
      </c>
      <c r="W60" s="9"/>
      <c r="X60" s="2" t="s">
        <v>0</v>
      </c>
      <c r="Y60" s="2" t="s">
        <v>1</v>
      </c>
      <c r="Z60" s="2" t="s">
        <v>2</v>
      </c>
      <c r="AA60" s="2" t="s">
        <v>3</v>
      </c>
      <c r="AB60" s="2" t="s">
        <v>4</v>
      </c>
      <c r="AC60" s="2" t="s">
        <v>5</v>
      </c>
      <c r="AD60" s="2" t="s">
        <v>6</v>
      </c>
      <c r="AE60" s="2" t="s">
        <v>7</v>
      </c>
      <c r="AF60" s="2" t="s">
        <v>8</v>
      </c>
    </row>
    <row r="61" spans="1:32" x14ac:dyDescent="0.25">
      <c r="A61" s="55" t="s">
        <v>438</v>
      </c>
      <c r="B61" s="3">
        <v>4</v>
      </c>
      <c r="C61" s="3">
        <v>1</v>
      </c>
      <c r="D61" s="3">
        <v>1</v>
      </c>
      <c r="E61" s="3" t="s">
        <v>10</v>
      </c>
      <c r="F61" s="3">
        <v>7914</v>
      </c>
      <c r="G61" s="3">
        <v>32</v>
      </c>
      <c r="H61" s="3" t="s">
        <v>439</v>
      </c>
      <c r="I61" s="3" t="s">
        <v>440</v>
      </c>
      <c r="J61" s="3" t="s">
        <v>441</v>
      </c>
      <c r="L61" s="55" t="s">
        <v>438</v>
      </c>
      <c r="M61" s="3">
        <v>4</v>
      </c>
      <c r="N61" s="3">
        <v>1</v>
      </c>
      <c r="O61" s="3">
        <v>1</v>
      </c>
      <c r="P61" s="3" t="s">
        <v>14</v>
      </c>
      <c r="Q61" s="3">
        <v>501</v>
      </c>
      <c r="R61" s="3">
        <v>32</v>
      </c>
      <c r="S61" s="3" t="s">
        <v>442</v>
      </c>
      <c r="T61" s="3" t="s">
        <v>443</v>
      </c>
      <c r="U61" s="3" t="s">
        <v>444</v>
      </c>
      <c r="W61" s="55" t="s">
        <v>438</v>
      </c>
      <c r="X61" s="3">
        <v>4</v>
      </c>
      <c r="Y61" s="3">
        <v>1</v>
      </c>
      <c r="Z61" s="3">
        <v>1</v>
      </c>
      <c r="AA61" s="3" t="s">
        <v>18</v>
      </c>
      <c r="AB61" s="3">
        <v>65</v>
      </c>
      <c r="AC61" s="3">
        <v>32</v>
      </c>
      <c r="AD61" s="3" t="s">
        <v>55</v>
      </c>
      <c r="AE61" s="3" t="s">
        <v>445</v>
      </c>
      <c r="AF61" s="3" t="s">
        <v>446</v>
      </c>
    </row>
    <row r="62" spans="1:32" x14ac:dyDescent="0.25">
      <c r="A62" s="55"/>
      <c r="B62" s="5">
        <v>4</v>
      </c>
      <c r="C62" s="5">
        <v>2</v>
      </c>
      <c r="D62" s="5">
        <v>1</v>
      </c>
      <c r="E62" s="5" t="s">
        <v>10</v>
      </c>
      <c r="F62" s="5">
        <v>7914</v>
      </c>
      <c r="G62" s="5">
        <v>32</v>
      </c>
      <c r="H62" s="5" t="s">
        <v>447</v>
      </c>
      <c r="I62" s="5" t="s">
        <v>448</v>
      </c>
      <c r="J62" s="5" t="s">
        <v>449</v>
      </c>
      <c r="L62" s="55"/>
      <c r="M62" s="5">
        <v>4</v>
      </c>
      <c r="N62" s="5">
        <v>2</v>
      </c>
      <c r="O62" s="5">
        <v>1</v>
      </c>
      <c r="P62" s="5" t="s">
        <v>14</v>
      </c>
      <c r="Q62" s="5">
        <v>501</v>
      </c>
      <c r="R62" s="5">
        <v>32</v>
      </c>
      <c r="S62" s="5" t="s">
        <v>200</v>
      </c>
      <c r="T62" s="5" t="s">
        <v>450</v>
      </c>
      <c r="U62" s="5" t="s">
        <v>451</v>
      </c>
      <c r="W62" s="55"/>
      <c r="X62" s="5">
        <v>4</v>
      </c>
      <c r="Y62" s="5">
        <v>2</v>
      </c>
      <c r="Z62" s="5">
        <v>1</v>
      </c>
      <c r="AA62" s="5" t="s">
        <v>18</v>
      </c>
      <c r="AB62" s="5">
        <v>65</v>
      </c>
      <c r="AC62" s="5">
        <v>32</v>
      </c>
      <c r="AD62" s="5" t="s">
        <v>35</v>
      </c>
      <c r="AE62" s="5" t="s">
        <v>323</v>
      </c>
      <c r="AF62" s="5" t="s">
        <v>452</v>
      </c>
    </row>
    <row r="63" spans="1:32" x14ac:dyDescent="0.25">
      <c r="A63" s="55"/>
      <c r="B63" s="7">
        <v>4</v>
      </c>
      <c r="C63" s="7">
        <v>1</v>
      </c>
      <c r="D63" s="7">
        <v>2</v>
      </c>
      <c r="E63" s="7" t="s">
        <v>10</v>
      </c>
      <c r="F63" s="7">
        <v>7914</v>
      </c>
      <c r="G63" s="7">
        <v>32</v>
      </c>
      <c r="H63" s="7" t="s">
        <v>453</v>
      </c>
      <c r="I63" s="7" t="s">
        <v>454</v>
      </c>
      <c r="J63" s="7" t="s">
        <v>455</v>
      </c>
      <c r="L63" s="55"/>
      <c r="M63" s="7">
        <v>4</v>
      </c>
      <c r="N63" s="7">
        <v>1</v>
      </c>
      <c r="O63" s="7">
        <v>2</v>
      </c>
      <c r="P63" s="7" t="s">
        <v>14</v>
      </c>
      <c r="Q63" s="7">
        <v>501</v>
      </c>
      <c r="R63" s="7">
        <v>32</v>
      </c>
      <c r="S63" s="7" t="s">
        <v>456</v>
      </c>
      <c r="T63" s="7" t="s">
        <v>457</v>
      </c>
      <c r="U63" s="7" t="s">
        <v>458</v>
      </c>
      <c r="W63" s="55"/>
      <c r="X63" s="7">
        <v>4</v>
      </c>
      <c r="Y63" s="7">
        <v>1</v>
      </c>
      <c r="Z63" s="7">
        <v>2</v>
      </c>
      <c r="AA63" s="7" t="s">
        <v>18</v>
      </c>
      <c r="AB63" s="7">
        <v>65</v>
      </c>
      <c r="AC63" s="7">
        <v>32</v>
      </c>
      <c r="AD63" s="7" t="s">
        <v>73</v>
      </c>
      <c r="AE63" s="7" t="s">
        <v>459</v>
      </c>
      <c r="AF63" s="7" t="s">
        <v>460</v>
      </c>
    </row>
    <row r="64" spans="1:32" x14ac:dyDescent="0.25">
      <c r="A64" s="55"/>
      <c r="B64" s="5">
        <v>4</v>
      </c>
      <c r="C64" s="5">
        <v>2</v>
      </c>
      <c r="D64" s="5">
        <v>2</v>
      </c>
      <c r="E64" s="5" t="s">
        <v>10</v>
      </c>
      <c r="F64" s="5">
        <v>7914</v>
      </c>
      <c r="G64" s="5">
        <v>32</v>
      </c>
      <c r="H64" s="5" t="s">
        <v>461</v>
      </c>
      <c r="I64" s="5" t="s">
        <v>462</v>
      </c>
      <c r="J64" s="5" t="s">
        <v>463</v>
      </c>
      <c r="L64" s="55"/>
      <c r="M64" s="5">
        <v>4</v>
      </c>
      <c r="N64" s="5">
        <v>2</v>
      </c>
      <c r="O64" s="5">
        <v>2</v>
      </c>
      <c r="P64" s="5" t="s">
        <v>14</v>
      </c>
      <c r="Q64" s="5">
        <v>501</v>
      </c>
      <c r="R64" s="5">
        <v>32</v>
      </c>
      <c r="S64" s="5" t="s">
        <v>464</v>
      </c>
      <c r="T64" s="5" t="s">
        <v>465</v>
      </c>
      <c r="U64" s="5" t="s">
        <v>451</v>
      </c>
      <c r="W64" s="55"/>
      <c r="X64" s="5">
        <v>4</v>
      </c>
      <c r="Y64" s="5">
        <v>2</v>
      </c>
      <c r="Z64" s="5">
        <v>2</v>
      </c>
      <c r="AA64" s="5" t="s">
        <v>18</v>
      </c>
      <c r="AB64" s="5">
        <v>65</v>
      </c>
      <c r="AC64" s="5">
        <v>32</v>
      </c>
      <c r="AD64" s="5" t="s">
        <v>90</v>
      </c>
      <c r="AE64" s="5" t="s">
        <v>105</v>
      </c>
      <c r="AF64" s="5" t="s">
        <v>452</v>
      </c>
    </row>
    <row r="65" spans="1:32" x14ac:dyDescent="0.25">
      <c r="A65" s="55"/>
      <c r="B65" s="7">
        <v>8</v>
      </c>
      <c r="C65" s="7">
        <v>1</v>
      </c>
      <c r="D65" s="7">
        <v>1</v>
      </c>
      <c r="E65" s="7" t="s">
        <v>10</v>
      </c>
      <c r="F65" s="7">
        <v>7914</v>
      </c>
      <c r="G65" s="7">
        <v>64</v>
      </c>
      <c r="H65" s="7" t="s">
        <v>466</v>
      </c>
      <c r="I65" s="7" t="s">
        <v>467</v>
      </c>
      <c r="J65" s="7" t="s">
        <v>468</v>
      </c>
      <c r="L65" s="55"/>
      <c r="M65" s="7">
        <v>8</v>
      </c>
      <c r="N65" s="7">
        <v>1</v>
      </c>
      <c r="O65" s="7">
        <v>1</v>
      </c>
      <c r="P65" s="7" t="s">
        <v>14</v>
      </c>
      <c r="Q65" s="7">
        <v>501</v>
      </c>
      <c r="R65" s="7">
        <v>64</v>
      </c>
      <c r="S65" s="7" t="s">
        <v>469</v>
      </c>
      <c r="T65" s="7" t="s">
        <v>470</v>
      </c>
      <c r="U65" s="7" t="s">
        <v>471</v>
      </c>
      <c r="W65" s="55"/>
      <c r="X65" s="7">
        <v>8</v>
      </c>
      <c r="Y65" s="7">
        <v>1</v>
      </c>
      <c r="Z65" s="7">
        <v>1</v>
      </c>
      <c r="AA65" s="7" t="s">
        <v>18</v>
      </c>
      <c r="AB65" s="7">
        <v>65</v>
      </c>
      <c r="AC65" s="7">
        <v>64</v>
      </c>
      <c r="AD65" s="7" t="s">
        <v>38</v>
      </c>
      <c r="AE65" s="7" t="s">
        <v>47</v>
      </c>
      <c r="AF65" s="7" t="s">
        <v>472</v>
      </c>
    </row>
    <row r="66" spans="1:32" x14ac:dyDescent="0.25">
      <c r="A66" s="55"/>
      <c r="B66" s="5">
        <v>8</v>
      </c>
      <c r="C66" s="5">
        <v>2</v>
      </c>
      <c r="D66" s="5">
        <v>1</v>
      </c>
      <c r="E66" s="5" t="s">
        <v>10</v>
      </c>
      <c r="F66" s="5">
        <v>7914</v>
      </c>
      <c r="G66" s="5">
        <v>64</v>
      </c>
      <c r="H66" s="5" t="s">
        <v>473</v>
      </c>
      <c r="I66" s="5" t="s">
        <v>474</v>
      </c>
      <c r="J66" s="5" t="s">
        <v>475</v>
      </c>
      <c r="L66" s="55"/>
      <c r="M66" s="5">
        <v>8</v>
      </c>
      <c r="N66" s="5">
        <v>2</v>
      </c>
      <c r="O66" s="5">
        <v>1</v>
      </c>
      <c r="P66" s="5" t="s">
        <v>14</v>
      </c>
      <c r="Q66" s="5">
        <v>501</v>
      </c>
      <c r="R66" s="5">
        <v>64</v>
      </c>
      <c r="S66" s="5" t="s">
        <v>476</v>
      </c>
      <c r="T66" s="5" t="s">
        <v>477</v>
      </c>
      <c r="U66" s="5" t="s">
        <v>478</v>
      </c>
      <c r="W66" s="55"/>
      <c r="X66" s="5">
        <v>8</v>
      </c>
      <c r="Y66" s="5">
        <v>2</v>
      </c>
      <c r="Z66" s="5">
        <v>1</v>
      </c>
      <c r="AA66" s="5" t="s">
        <v>18</v>
      </c>
      <c r="AB66" s="5">
        <v>65</v>
      </c>
      <c r="AC66" s="5">
        <v>64</v>
      </c>
      <c r="AD66" s="5" t="s">
        <v>372</v>
      </c>
      <c r="AE66" s="5" t="s">
        <v>202</v>
      </c>
      <c r="AF66" s="5" t="s">
        <v>479</v>
      </c>
    </row>
    <row r="67" spans="1:32" x14ac:dyDescent="0.25">
      <c r="A67" s="55"/>
      <c r="B67" s="7">
        <v>8</v>
      </c>
      <c r="C67" s="7">
        <v>1</v>
      </c>
      <c r="D67" s="7">
        <v>2</v>
      </c>
      <c r="E67" s="7" t="s">
        <v>10</v>
      </c>
      <c r="F67" s="7">
        <v>7914</v>
      </c>
      <c r="G67" s="7">
        <v>64</v>
      </c>
      <c r="H67" s="7" t="s">
        <v>480</v>
      </c>
      <c r="I67" s="7" t="s">
        <v>481</v>
      </c>
      <c r="J67" s="7" t="s">
        <v>482</v>
      </c>
      <c r="L67" s="55"/>
      <c r="M67" s="7">
        <v>8</v>
      </c>
      <c r="N67" s="7">
        <v>1</v>
      </c>
      <c r="O67" s="7">
        <v>2</v>
      </c>
      <c r="P67" s="7" t="s">
        <v>14</v>
      </c>
      <c r="Q67" s="7">
        <v>501</v>
      </c>
      <c r="R67" s="7">
        <v>64</v>
      </c>
      <c r="S67" s="7" t="s">
        <v>307</v>
      </c>
      <c r="T67" s="7" t="s">
        <v>266</v>
      </c>
      <c r="U67" s="7" t="s">
        <v>483</v>
      </c>
      <c r="W67" s="55"/>
      <c r="X67" s="7">
        <v>8</v>
      </c>
      <c r="Y67" s="7">
        <v>1</v>
      </c>
      <c r="Z67" s="7">
        <v>2</v>
      </c>
      <c r="AA67" s="7" t="s">
        <v>18</v>
      </c>
      <c r="AB67" s="7">
        <v>65</v>
      </c>
      <c r="AC67" s="7">
        <v>64</v>
      </c>
      <c r="AD67" s="7" t="s">
        <v>224</v>
      </c>
      <c r="AE67" s="7" t="s">
        <v>225</v>
      </c>
      <c r="AF67" s="7" t="s">
        <v>484</v>
      </c>
    </row>
    <row r="68" spans="1:32" x14ac:dyDescent="0.25">
      <c r="A68" s="55"/>
      <c r="B68" s="5">
        <v>8</v>
      </c>
      <c r="C68" s="5">
        <v>2</v>
      </c>
      <c r="D68" s="5">
        <v>2</v>
      </c>
      <c r="E68" s="5" t="s">
        <v>10</v>
      </c>
      <c r="F68" s="5">
        <v>7914</v>
      </c>
      <c r="G68" s="5">
        <v>64</v>
      </c>
      <c r="H68" s="5" t="s">
        <v>485</v>
      </c>
      <c r="I68" s="5" t="s">
        <v>486</v>
      </c>
      <c r="J68" s="5" t="s">
        <v>487</v>
      </c>
      <c r="L68" s="55"/>
      <c r="M68" s="5">
        <v>8</v>
      </c>
      <c r="N68" s="5">
        <v>2</v>
      </c>
      <c r="O68" s="5">
        <v>2</v>
      </c>
      <c r="P68" s="5" t="s">
        <v>14</v>
      </c>
      <c r="Q68" s="5">
        <v>501</v>
      </c>
      <c r="R68" s="5">
        <v>64</v>
      </c>
      <c r="S68" s="5" t="s">
        <v>348</v>
      </c>
      <c r="T68" s="5" t="s">
        <v>44</v>
      </c>
      <c r="U68" s="5" t="s">
        <v>488</v>
      </c>
      <c r="W68" s="55"/>
      <c r="X68" s="5">
        <v>8</v>
      </c>
      <c r="Y68" s="5">
        <v>2</v>
      </c>
      <c r="Z68" s="5">
        <v>2</v>
      </c>
      <c r="AA68" s="5" t="s">
        <v>18</v>
      </c>
      <c r="AB68" s="5">
        <v>65</v>
      </c>
      <c r="AC68" s="5">
        <v>64</v>
      </c>
      <c r="AD68" s="5" t="s">
        <v>47</v>
      </c>
      <c r="AE68" s="5" t="s">
        <v>436</v>
      </c>
      <c r="AF68" s="5" t="s">
        <v>489</v>
      </c>
    </row>
    <row r="69" spans="1:32" x14ac:dyDescent="0.25">
      <c r="A69" s="55"/>
      <c r="B69" s="7">
        <v>12</v>
      </c>
      <c r="C69" s="7">
        <v>1</v>
      </c>
      <c r="D69" s="7">
        <v>1</v>
      </c>
      <c r="E69" s="7" t="s">
        <v>10</v>
      </c>
      <c r="F69" s="7">
        <v>7914</v>
      </c>
      <c r="G69" s="7">
        <v>96</v>
      </c>
      <c r="H69" s="7" t="s">
        <v>490</v>
      </c>
      <c r="I69" s="7" t="s">
        <v>491</v>
      </c>
      <c r="J69" s="7" t="s">
        <v>492</v>
      </c>
      <c r="L69" s="55"/>
      <c r="M69" s="7">
        <v>12</v>
      </c>
      <c r="N69" s="7">
        <v>1</v>
      </c>
      <c r="O69" s="7">
        <v>1</v>
      </c>
      <c r="P69" s="7" t="s">
        <v>14</v>
      </c>
      <c r="Q69" s="7">
        <v>501</v>
      </c>
      <c r="R69" s="7">
        <v>96</v>
      </c>
      <c r="S69" s="7" t="s">
        <v>280</v>
      </c>
      <c r="T69" s="7" t="s">
        <v>493</v>
      </c>
      <c r="U69" s="7" t="s">
        <v>494</v>
      </c>
      <c r="W69" s="55"/>
      <c r="X69" s="7">
        <v>12</v>
      </c>
      <c r="Y69" s="7">
        <v>1</v>
      </c>
      <c r="Z69" s="7">
        <v>1</v>
      </c>
      <c r="AA69" s="7" t="s">
        <v>18</v>
      </c>
      <c r="AB69" s="7">
        <v>65</v>
      </c>
      <c r="AC69" s="7">
        <v>96</v>
      </c>
      <c r="AD69" s="7" t="s">
        <v>55</v>
      </c>
      <c r="AE69" s="7" t="s">
        <v>115</v>
      </c>
      <c r="AF69" s="7" t="s">
        <v>495</v>
      </c>
    </row>
    <row r="70" spans="1:32" x14ac:dyDescent="0.25">
      <c r="A70" s="55"/>
      <c r="B70" s="5">
        <v>12</v>
      </c>
      <c r="C70" s="5">
        <v>2</v>
      </c>
      <c r="D70" s="5">
        <v>1</v>
      </c>
      <c r="E70" s="5" t="s">
        <v>10</v>
      </c>
      <c r="F70" s="5">
        <v>7914</v>
      </c>
      <c r="G70" s="5">
        <v>96</v>
      </c>
      <c r="H70" s="5" t="s">
        <v>496</v>
      </c>
      <c r="I70" s="5" t="s">
        <v>497</v>
      </c>
      <c r="J70" s="5" t="s">
        <v>498</v>
      </c>
      <c r="L70" s="55"/>
      <c r="M70" s="5">
        <v>12</v>
      </c>
      <c r="N70" s="5">
        <v>2</v>
      </c>
      <c r="O70" s="5">
        <v>1</v>
      </c>
      <c r="P70" s="5" t="s">
        <v>14</v>
      </c>
      <c r="Q70" s="5">
        <v>501</v>
      </c>
      <c r="R70" s="5">
        <v>96</v>
      </c>
      <c r="S70" s="5" t="s">
        <v>306</v>
      </c>
      <c r="T70" s="5" t="s">
        <v>307</v>
      </c>
      <c r="U70" s="5" t="s">
        <v>499</v>
      </c>
      <c r="W70" s="55"/>
      <c r="X70" s="5">
        <v>12</v>
      </c>
      <c r="Y70" s="5">
        <v>2</v>
      </c>
      <c r="Z70" s="5">
        <v>1</v>
      </c>
      <c r="AA70" s="5" t="s">
        <v>18</v>
      </c>
      <c r="AB70" s="5">
        <v>65</v>
      </c>
      <c r="AC70" s="5">
        <v>96</v>
      </c>
      <c r="AD70" s="5" t="s">
        <v>38</v>
      </c>
      <c r="AE70" s="5" t="s">
        <v>225</v>
      </c>
      <c r="AF70" s="5" t="s">
        <v>500</v>
      </c>
    </row>
    <row r="71" spans="1:32" x14ac:dyDescent="0.25">
      <c r="A71" s="55"/>
      <c r="B71" s="7">
        <v>12</v>
      </c>
      <c r="C71" s="7">
        <v>1</v>
      </c>
      <c r="D71" s="7">
        <v>2</v>
      </c>
      <c r="E71" s="7" t="s">
        <v>10</v>
      </c>
      <c r="F71" s="7">
        <v>7914</v>
      </c>
      <c r="G71" s="7">
        <v>96</v>
      </c>
      <c r="H71" s="7" t="s">
        <v>501</v>
      </c>
      <c r="I71" s="7" t="s">
        <v>502</v>
      </c>
      <c r="J71" s="7" t="s">
        <v>256</v>
      </c>
      <c r="K71" s="10"/>
      <c r="L71" s="55"/>
      <c r="M71" s="7">
        <v>12</v>
      </c>
      <c r="N71" s="7">
        <v>1</v>
      </c>
      <c r="O71" s="7">
        <v>2</v>
      </c>
      <c r="P71" s="7" t="s">
        <v>14</v>
      </c>
      <c r="Q71" s="7">
        <v>501</v>
      </c>
      <c r="R71" s="7">
        <v>96</v>
      </c>
      <c r="S71" s="7" t="s">
        <v>279</v>
      </c>
      <c r="T71" s="7" t="s">
        <v>280</v>
      </c>
      <c r="U71" s="7" t="s">
        <v>503</v>
      </c>
      <c r="W71" s="55"/>
      <c r="X71" s="7">
        <v>12</v>
      </c>
      <c r="Y71" s="7">
        <v>1</v>
      </c>
      <c r="Z71" s="7">
        <v>2</v>
      </c>
      <c r="AA71" s="7" t="s">
        <v>18</v>
      </c>
      <c r="AB71" s="7">
        <v>65</v>
      </c>
      <c r="AC71" s="7">
        <v>96</v>
      </c>
      <c r="AD71" s="7" t="s">
        <v>28</v>
      </c>
      <c r="AE71" s="7" t="s">
        <v>29</v>
      </c>
      <c r="AF71" s="7" t="s">
        <v>504</v>
      </c>
    </row>
    <row r="72" spans="1:32" x14ac:dyDescent="0.25">
      <c r="A72" s="55"/>
      <c r="B72" s="5">
        <v>12</v>
      </c>
      <c r="C72" s="5">
        <v>2</v>
      </c>
      <c r="D72" s="5">
        <v>2</v>
      </c>
      <c r="E72" s="5" t="s">
        <v>10</v>
      </c>
      <c r="F72" s="5">
        <v>7914</v>
      </c>
      <c r="G72" s="5">
        <v>96</v>
      </c>
      <c r="H72" s="5" t="s">
        <v>505</v>
      </c>
      <c r="I72" s="5" t="s">
        <v>506</v>
      </c>
      <c r="J72" s="5" t="s">
        <v>507</v>
      </c>
      <c r="L72" s="55"/>
      <c r="M72" s="5">
        <v>12</v>
      </c>
      <c r="N72" s="5">
        <v>2</v>
      </c>
      <c r="O72" s="5">
        <v>2</v>
      </c>
      <c r="P72" s="5" t="s">
        <v>14</v>
      </c>
      <c r="Q72" s="5">
        <v>501</v>
      </c>
      <c r="R72" s="5">
        <v>96</v>
      </c>
      <c r="S72" s="5" t="s">
        <v>16</v>
      </c>
      <c r="T72" s="5" t="s">
        <v>508</v>
      </c>
      <c r="U72" s="5" t="s">
        <v>509</v>
      </c>
      <c r="W72" s="55"/>
      <c r="X72" s="5">
        <v>12</v>
      </c>
      <c r="Y72" s="5">
        <v>2</v>
      </c>
      <c r="Z72" s="5">
        <v>2</v>
      </c>
      <c r="AA72" s="5" t="s">
        <v>18</v>
      </c>
      <c r="AB72" s="5">
        <v>65</v>
      </c>
      <c r="AC72" s="5">
        <v>96</v>
      </c>
      <c r="AD72" s="5" t="s">
        <v>436</v>
      </c>
      <c r="AE72" s="5" t="s">
        <v>202</v>
      </c>
      <c r="AF72" s="5" t="s">
        <v>510</v>
      </c>
    </row>
    <row r="73" spans="1:32" ht="15.75" thickBot="1" x14ac:dyDescent="0.3">
      <c r="A73" s="9"/>
      <c r="B73" s="2" t="s">
        <v>0</v>
      </c>
      <c r="C73" s="2" t="s">
        <v>1</v>
      </c>
      <c r="D73" s="2" t="s">
        <v>2</v>
      </c>
      <c r="E73" s="2" t="s">
        <v>3</v>
      </c>
      <c r="F73" s="2" t="s">
        <v>4</v>
      </c>
      <c r="G73" s="2" t="s">
        <v>5</v>
      </c>
      <c r="H73" s="2" t="s">
        <v>6</v>
      </c>
      <c r="I73" s="2" t="s">
        <v>7</v>
      </c>
      <c r="J73" s="2" t="s">
        <v>8</v>
      </c>
      <c r="L73" s="9"/>
      <c r="M73" s="2" t="s">
        <v>0</v>
      </c>
      <c r="N73" s="2" t="s">
        <v>1</v>
      </c>
      <c r="O73" s="2" t="s">
        <v>2</v>
      </c>
      <c r="P73" s="2" t="s">
        <v>3</v>
      </c>
      <c r="Q73" s="2" t="s">
        <v>4</v>
      </c>
      <c r="R73" s="2" t="s">
        <v>5</v>
      </c>
      <c r="S73" s="2" t="s">
        <v>6</v>
      </c>
      <c r="T73" s="2" t="s">
        <v>7</v>
      </c>
      <c r="U73" s="2" t="s">
        <v>8</v>
      </c>
      <c r="W73" s="9"/>
      <c r="X73" s="2" t="s">
        <v>0</v>
      </c>
      <c r="Y73" s="2" t="s">
        <v>1</v>
      </c>
      <c r="Z73" s="2" t="s">
        <v>2</v>
      </c>
      <c r="AA73" s="2" t="s">
        <v>3</v>
      </c>
      <c r="AB73" s="2" t="s">
        <v>4</v>
      </c>
      <c r="AC73" s="2" t="s">
        <v>5</v>
      </c>
      <c r="AD73" s="2" t="s">
        <v>6</v>
      </c>
      <c r="AE73" s="2" t="s">
        <v>7</v>
      </c>
      <c r="AF73" s="2" t="s">
        <v>8</v>
      </c>
    </row>
    <row r="74" spans="1:32" x14ac:dyDescent="0.25">
      <c r="A74" s="55" t="s">
        <v>511</v>
      </c>
      <c r="B74" s="3">
        <v>0</v>
      </c>
      <c r="C74" s="3">
        <v>1</v>
      </c>
      <c r="D74" s="3">
        <v>1</v>
      </c>
      <c r="E74" s="3" t="s">
        <v>10</v>
      </c>
      <c r="F74" s="3">
        <v>7914</v>
      </c>
      <c r="G74" s="3">
        <v>0</v>
      </c>
      <c r="H74" s="3" t="s">
        <v>512</v>
      </c>
      <c r="I74" s="3" t="s">
        <v>513</v>
      </c>
      <c r="J74" s="3" t="s">
        <v>514</v>
      </c>
      <c r="L74" s="55" t="s">
        <v>511</v>
      </c>
      <c r="M74" s="3">
        <v>0</v>
      </c>
      <c r="N74" s="3">
        <v>1</v>
      </c>
      <c r="O74" s="3">
        <v>1</v>
      </c>
      <c r="P74" s="3" t="s">
        <v>14</v>
      </c>
      <c r="Q74" s="3">
        <v>501</v>
      </c>
      <c r="R74" s="3">
        <v>0</v>
      </c>
      <c r="S74" s="3" t="s">
        <v>515</v>
      </c>
      <c r="T74" s="3" t="s">
        <v>321</v>
      </c>
      <c r="U74" s="3" t="s">
        <v>516</v>
      </c>
      <c r="W74" s="55" t="s">
        <v>511</v>
      </c>
      <c r="X74" s="3">
        <v>0</v>
      </c>
      <c r="Y74" s="3">
        <v>1</v>
      </c>
      <c r="Z74" s="3">
        <v>1</v>
      </c>
      <c r="AA74" s="3" t="s">
        <v>18</v>
      </c>
      <c r="AB74" s="3">
        <v>65</v>
      </c>
      <c r="AC74" s="3">
        <v>0</v>
      </c>
      <c r="AD74" s="3" t="s">
        <v>339</v>
      </c>
      <c r="AE74" s="3" t="s">
        <v>416</v>
      </c>
      <c r="AF74" s="3" t="s">
        <v>517</v>
      </c>
    </row>
    <row r="75" spans="1:32" x14ac:dyDescent="0.25">
      <c r="A75" s="55"/>
      <c r="B75" s="5">
        <v>0</v>
      </c>
      <c r="C75" s="5">
        <v>2</v>
      </c>
      <c r="D75" s="5">
        <v>1</v>
      </c>
      <c r="E75" s="5" t="s">
        <v>10</v>
      </c>
      <c r="F75" s="5">
        <v>7914</v>
      </c>
      <c r="G75" s="5">
        <v>0</v>
      </c>
      <c r="H75" s="5" t="s">
        <v>518</v>
      </c>
      <c r="I75" s="5" t="s">
        <v>519</v>
      </c>
      <c r="J75" s="5" t="s">
        <v>520</v>
      </c>
      <c r="L75" s="55"/>
      <c r="M75" s="5">
        <v>0</v>
      </c>
      <c r="N75" s="5">
        <v>2</v>
      </c>
      <c r="O75" s="5">
        <v>1</v>
      </c>
      <c r="P75" s="5" t="s">
        <v>14</v>
      </c>
      <c r="Q75" s="5">
        <v>501</v>
      </c>
      <c r="R75" s="5">
        <v>0</v>
      </c>
      <c r="S75" s="5" t="s">
        <v>521</v>
      </c>
      <c r="T75" s="5" t="s">
        <v>522</v>
      </c>
      <c r="U75" s="5" t="s">
        <v>523</v>
      </c>
      <c r="W75" s="55"/>
      <c r="X75" s="5">
        <v>0</v>
      </c>
      <c r="Y75" s="5">
        <v>2</v>
      </c>
      <c r="Z75" s="5">
        <v>1</v>
      </c>
      <c r="AA75" s="5" t="s">
        <v>18</v>
      </c>
      <c r="AB75" s="5">
        <v>65</v>
      </c>
      <c r="AC75" s="5">
        <v>0</v>
      </c>
      <c r="AD75" s="5" t="s">
        <v>273</v>
      </c>
      <c r="AE75" s="5" t="s">
        <v>524</v>
      </c>
      <c r="AF75" s="5" t="s">
        <v>525</v>
      </c>
    </row>
    <row r="76" spans="1:32" x14ac:dyDescent="0.25">
      <c r="A76" s="55"/>
      <c r="B76" s="7">
        <v>0</v>
      </c>
      <c r="C76" s="7">
        <v>1</v>
      </c>
      <c r="D76" s="7">
        <v>2</v>
      </c>
      <c r="E76" s="7" t="s">
        <v>10</v>
      </c>
      <c r="F76" s="7">
        <v>7914</v>
      </c>
      <c r="G76" s="7">
        <v>0</v>
      </c>
      <c r="H76" s="7" t="s">
        <v>526</v>
      </c>
      <c r="I76" s="7" t="s">
        <v>527</v>
      </c>
      <c r="J76" s="7" t="s">
        <v>528</v>
      </c>
      <c r="L76" s="55"/>
      <c r="M76" s="7">
        <v>0</v>
      </c>
      <c r="N76" s="7">
        <v>1</v>
      </c>
      <c r="O76" s="7">
        <v>2</v>
      </c>
      <c r="P76" s="7" t="s">
        <v>14</v>
      </c>
      <c r="Q76" s="7">
        <v>501</v>
      </c>
      <c r="R76" s="7">
        <v>0</v>
      </c>
      <c r="S76" s="7" t="s">
        <v>529</v>
      </c>
      <c r="T76" s="7" t="s">
        <v>530</v>
      </c>
      <c r="U76" s="7" t="s">
        <v>531</v>
      </c>
      <c r="W76" s="55"/>
      <c r="X76" s="7">
        <v>0</v>
      </c>
      <c r="Y76" s="7">
        <v>1</v>
      </c>
      <c r="Z76" s="7">
        <v>2</v>
      </c>
      <c r="AA76" s="7" t="s">
        <v>18</v>
      </c>
      <c r="AB76" s="7">
        <v>65</v>
      </c>
      <c r="AC76" s="7">
        <v>0</v>
      </c>
      <c r="AD76" s="7" t="s">
        <v>88</v>
      </c>
      <c r="AE76" s="7" t="s">
        <v>532</v>
      </c>
      <c r="AF76" s="7" t="s">
        <v>533</v>
      </c>
    </row>
    <row r="77" spans="1:32" x14ac:dyDescent="0.25">
      <c r="A77" s="55"/>
      <c r="B77" s="5">
        <v>0</v>
      </c>
      <c r="C77" s="5">
        <v>2</v>
      </c>
      <c r="D77" s="5">
        <v>2</v>
      </c>
      <c r="E77" s="5" t="s">
        <v>10</v>
      </c>
      <c r="F77" s="5">
        <v>7914</v>
      </c>
      <c r="G77" s="5">
        <v>0</v>
      </c>
      <c r="H77" s="5" t="s">
        <v>534</v>
      </c>
      <c r="I77" s="5" t="s">
        <v>535</v>
      </c>
      <c r="J77" s="5" t="s">
        <v>536</v>
      </c>
      <c r="L77" s="55"/>
      <c r="M77" s="5">
        <v>0</v>
      </c>
      <c r="N77" s="5">
        <v>2</v>
      </c>
      <c r="O77" s="5">
        <v>2</v>
      </c>
      <c r="P77" s="5" t="s">
        <v>14</v>
      </c>
      <c r="Q77" s="5">
        <v>501</v>
      </c>
      <c r="R77" s="5">
        <v>0</v>
      </c>
      <c r="S77" s="5" t="s">
        <v>537</v>
      </c>
      <c r="T77" s="5" t="s">
        <v>538</v>
      </c>
      <c r="U77" s="5" t="s">
        <v>539</v>
      </c>
      <c r="W77" s="55"/>
      <c r="X77" s="5">
        <v>0</v>
      </c>
      <c r="Y77" s="5">
        <v>2</v>
      </c>
      <c r="Z77" s="5">
        <v>2</v>
      </c>
      <c r="AA77" s="5" t="s">
        <v>18</v>
      </c>
      <c r="AB77" s="5">
        <v>65</v>
      </c>
      <c r="AC77" s="5">
        <v>0</v>
      </c>
      <c r="AD77" s="5" t="s">
        <v>26</v>
      </c>
      <c r="AE77" s="5" t="s">
        <v>369</v>
      </c>
      <c r="AF77" s="5" t="s">
        <v>525</v>
      </c>
    </row>
  </sheetData>
  <mergeCells count="15">
    <mergeCell ref="A2:A21"/>
    <mergeCell ref="L2:L21"/>
    <mergeCell ref="W2:W21"/>
    <mergeCell ref="A23:A38"/>
    <mergeCell ref="L23:L38"/>
    <mergeCell ref="W23:W38"/>
    <mergeCell ref="A74:A77"/>
    <mergeCell ref="L74:L77"/>
    <mergeCell ref="W74:W77"/>
    <mergeCell ref="A40:A59"/>
    <mergeCell ref="L40:L59"/>
    <mergeCell ref="W40:W59"/>
    <mergeCell ref="A61:A72"/>
    <mergeCell ref="L61:L72"/>
    <mergeCell ref="W61:W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0A6E5-EA1A-4FC8-94E1-EC43B1FFF6E5}">
  <sheetPr codeName="Sheet2"/>
  <dimension ref="A1:O157"/>
  <sheetViews>
    <sheetView topLeftCell="A22" workbookViewId="0">
      <selection activeCell="B39" sqref="B39"/>
    </sheetView>
  </sheetViews>
  <sheetFormatPr defaultRowHeight="15" x14ac:dyDescent="0.25"/>
  <sheetData>
    <row r="1" spans="1:15" x14ac:dyDescent="0.25">
      <c r="A1" t="s">
        <v>540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J1" t="s">
        <v>298</v>
      </c>
      <c r="K1" t="s">
        <v>1</v>
      </c>
      <c r="L1" t="s">
        <v>2</v>
      </c>
      <c r="M1" t="s">
        <v>3</v>
      </c>
      <c r="N1" t="s">
        <v>6</v>
      </c>
      <c r="O1" t="s">
        <v>7</v>
      </c>
    </row>
    <row r="2" spans="1:15" x14ac:dyDescent="0.25">
      <c r="A2">
        <v>0</v>
      </c>
      <c r="B2">
        <v>0</v>
      </c>
      <c r="C2">
        <v>1</v>
      </c>
      <c r="D2">
        <v>1</v>
      </c>
      <c r="E2" t="s">
        <v>10</v>
      </c>
      <c r="F2">
        <v>0</v>
      </c>
      <c r="G2">
        <v>9999</v>
      </c>
      <c r="H2">
        <v>10056</v>
      </c>
      <c r="J2">
        <v>1</v>
      </c>
      <c r="K2">
        <v>1</v>
      </c>
      <c r="L2">
        <v>1</v>
      </c>
      <c r="M2" t="s">
        <v>10</v>
      </c>
      <c r="N2">
        <v>10426</v>
      </c>
      <c r="O2">
        <v>10804</v>
      </c>
    </row>
    <row r="3" spans="1:15" x14ac:dyDescent="0.25">
      <c r="A3">
        <v>0</v>
      </c>
      <c r="B3">
        <v>0</v>
      </c>
      <c r="C3">
        <v>2</v>
      </c>
      <c r="D3">
        <v>1</v>
      </c>
      <c r="E3" t="s">
        <v>10</v>
      </c>
      <c r="F3">
        <v>0</v>
      </c>
      <c r="G3">
        <v>11316</v>
      </c>
      <c r="H3">
        <v>11370</v>
      </c>
      <c r="J3">
        <v>1</v>
      </c>
      <c r="K3">
        <v>2</v>
      </c>
      <c r="L3">
        <v>1</v>
      </c>
      <c r="M3" t="s">
        <v>10</v>
      </c>
      <c r="N3">
        <v>12571</v>
      </c>
      <c r="O3">
        <v>12973</v>
      </c>
    </row>
    <row r="4" spans="1:15" x14ac:dyDescent="0.25">
      <c r="A4">
        <v>0</v>
      </c>
      <c r="B4">
        <v>0</v>
      </c>
      <c r="C4">
        <v>1</v>
      </c>
      <c r="D4">
        <v>2</v>
      </c>
      <c r="E4" t="s">
        <v>10</v>
      </c>
      <c r="F4">
        <v>0</v>
      </c>
      <c r="G4">
        <v>9977</v>
      </c>
      <c r="H4">
        <v>10027</v>
      </c>
      <c r="J4">
        <v>1</v>
      </c>
      <c r="K4">
        <v>1</v>
      </c>
      <c r="L4">
        <v>2</v>
      </c>
      <c r="M4" t="s">
        <v>10</v>
      </c>
      <c r="N4">
        <v>10062</v>
      </c>
      <c r="O4">
        <v>10430</v>
      </c>
    </row>
    <row r="5" spans="1:15" x14ac:dyDescent="0.25">
      <c r="A5">
        <v>0</v>
      </c>
      <c r="B5">
        <v>0</v>
      </c>
      <c r="C5">
        <v>2</v>
      </c>
      <c r="D5">
        <v>2</v>
      </c>
      <c r="E5" t="s">
        <v>10</v>
      </c>
      <c r="F5">
        <v>0</v>
      </c>
      <c r="G5">
        <v>11231</v>
      </c>
      <c r="H5">
        <v>11287</v>
      </c>
      <c r="J5">
        <v>1</v>
      </c>
      <c r="K5">
        <v>2</v>
      </c>
      <c r="L5">
        <v>2</v>
      </c>
      <c r="M5" t="s">
        <v>10</v>
      </c>
      <c r="N5">
        <v>12346</v>
      </c>
      <c r="O5">
        <v>12735</v>
      </c>
    </row>
    <row r="6" spans="1:15" x14ac:dyDescent="0.25">
      <c r="A6">
        <v>1</v>
      </c>
      <c r="B6">
        <v>32</v>
      </c>
      <c r="C6">
        <v>1</v>
      </c>
      <c r="D6">
        <v>1</v>
      </c>
      <c r="E6" t="s">
        <v>10</v>
      </c>
      <c r="F6">
        <v>32</v>
      </c>
      <c r="G6">
        <v>1863</v>
      </c>
      <c r="H6">
        <v>1898</v>
      </c>
      <c r="J6">
        <v>2</v>
      </c>
      <c r="K6">
        <v>1</v>
      </c>
      <c r="L6">
        <v>1</v>
      </c>
      <c r="M6" t="s">
        <v>10</v>
      </c>
      <c r="N6">
        <v>10536</v>
      </c>
      <c r="O6">
        <v>10894</v>
      </c>
    </row>
    <row r="7" spans="1:15" x14ac:dyDescent="0.25">
      <c r="A7">
        <v>1</v>
      </c>
      <c r="B7">
        <v>32</v>
      </c>
      <c r="C7">
        <v>2</v>
      </c>
      <c r="D7">
        <v>1</v>
      </c>
      <c r="E7" t="s">
        <v>10</v>
      </c>
      <c r="F7">
        <v>32</v>
      </c>
      <c r="G7">
        <v>2147</v>
      </c>
      <c r="H7">
        <v>2199</v>
      </c>
      <c r="J7">
        <v>2</v>
      </c>
      <c r="K7">
        <v>2</v>
      </c>
      <c r="L7">
        <v>1</v>
      </c>
      <c r="M7" t="s">
        <v>10</v>
      </c>
      <c r="N7">
        <v>12150</v>
      </c>
      <c r="O7">
        <v>12515</v>
      </c>
    </row>
    <row r="8" spans="1:15" x14ac:dyDescent="0.25">
      <c r="A8">
        <v>1</v>
      </c>
      <c r="B8">
        <v>32</v>
      </c>
      <c r="C8">
        <v>1</v>
      </c>
      <c r="D8">
        <v>2</v>
      </c>
      <c r="E8" t="s">
        <v>10</v>
      </c>
      <c r="F8">
        <v>32</v>
      </c>
      <c r="G8">
        <v>1787</v>
      </c>
      <c r="H8">
        <v>1833</v>
      </c>
      <c r="J8">
        <v>2</v>
      </c>
      <c r="K8">
        <v>1</v>
      </c>
      <c r="L8">
        <v>2</v>
      </c>
      <c r="M8" t="s">
        <v>10</v>
      </c>
      <c r="N8">
        <v>9881</v>
      </c>
      <c r="O8">
        <v>10256</v>
      </c>
    </row>
    <row r="9" spans="1:15" x14ac:dyDescent="0.25">
      <c r="A9">
        <v>1</v>
      </c>
      <c r="B9">
        <v>32</v>
      </c>
      <c r="C9">
        <v>2</v>
      </c>
      <c r="D9">
        <v>2</v>
      </c>
      <c r="E9" t="s">
        <v>10</v>
      </c>
      <c r="F9">
        <v>32</v>
      </c>
      <c r="G9">
        <v>2066</v>
      </c>
      <c r="H9">
        <v>2113</v>
      </c>
      <c r="J9">
        <v>2</v>
      </c>
      <c r="K9">
        <v>2</v>
      </c>
      <c r="L9">
        <v>2</v>
      </c>
      <c r="M9" t="s">
        <v>10</v>
      </c>
      <c r="N9">
        <v>11787</v>
      </c>
      <c r="O9">
        <v>12182</v>
      </c>
    </row>
    <row r="10" spans="1:15" x14ac:dyDescent="0.25">
      <c r="A10">
        <v>1</v>
      </c>
      <c r="B10">
        <v>16</v>
      </c>
      <c r="C10">
        <v>1</v>
      </c>
      <c r="D10">
        <v>1</v>
      </c>
      <c r="E10" t="s">
        <v>10</v>
      </c>
      <c r="F10">
        <v>16</v>
      </c>
      <c r="G10">
        <v>3018</v>
      </c>
      <c r="H10">
        <v>3071</v>
      </c>
      <c r="J10">
        <v>4</v>
      </c>
      <c r="K10">
        <v>1</v>
      </c>
      <c r="L10">
        <v>1</v>
      </c>
      <c r="M10" t="s">
        <v>10</v>
      </c>
      <c r="N10">
        <v>10228</v>
      </c>
      <c r="O10">
        <v>10611</v>
      </c>
    </row>
    <row r="11" spans="1:15" x14ac:dyDescent="0.25">
      <c r="A11">
        <v>1</v>
      </c>
      <c r="B11">
        <v>16</v>
      </c>
      <c r="C11">
        <v>2</v>
      </c>
      <c r="D11">
        <v>1</v>
      </c>
      <c r="E11" t="s">
        <v>10</v>
      </c>
      <c r="F11">
        <v>16</v>
      </c>
      <c r="G11">
        <v>3120</v>
      </c>
      <c r="H11">
        <v>3171</v>
      </c>
      <c r="J11">
        <v>4</v>
      </c>
      <c r="K11">
        <v>2</v>
      </c>
      <c r="L11">
        <v>1</v>
      </c>
      <c r="M11" t="s">
        <v>10</v>
      </c>
      <c r="N11">
        <v>11222</v>
      </c>
      <c r="O11">
        <v>11619</v>
      </c>
    </row>
    <row r="12" spans="1:15" x14ac:dyDescent="0.25">
      <c r="A12">
        <v>1</v>
      </c>
      <c r="B12">
        <v>16</v>
      </c>
      <c r="C12">
        <v>1</v>
      </c>
      <c r="D12">
        <v>2</v>
      </c>
      <c r="E12" t="s">
        <v>10</v>
      </c>
      <c r="F12">
        <v>16</v>
      </c>
      <c r="G12">
        <v>3034</v>
      </c>
      <c r="H12">
        <v>3409</v>
      </c>
      <c r="J12">
        <v>4</v>
      </c>
      <c r="K12">
        <v>1</v>
      </c>
      <c r="L12">
        <v>2</v>
      </c>
      <c r="M12" t="s">
        <v>10</v>
      </c>
      <c r="N12">
        <v>9723</v>
      </c>
      <c r="O12">
        <v>10097</v>
      </c>
    </row>
    <row r="13" spans="1:15" x14ac:dyDescent="0.25">
      <c r="A13">
        <v>1</v>
      </c>
      <c r="B13">
        <v>16</v>
      </c>
      <c r="C13">
        <v>2</v>
      </c>
      <c r="D13">
        <v>2</v>
      </c>
      <c r="E13" t="s">
        <v>10</v>
      </c>
      <c r="F13">
        <v>16</v>
      </c>
      <c r="G13">
        <v>3133</v>
      </c>
      <c r="H13">
        <v>3485</v>
      </c>
      <c r="J13">
        <v>4</v>
      </c>
      <c r="K13">
        <v>2</v>
      </c>
      <c r="L13">
        <v>2</v>
      </c>
      <c r="M13" t="s">
        <v>10</v>
      </c>
      <c r="N13">
        <v>10983</v>
      </c>
      <c r="O13">
        <v>11379</v>
      </c>
    </row>
    <row r="14" spans="1:15" x14ac:dyDescent="0.25">
      <c r="A14">
        <v>1</v>
      </c>
      <c r="B14">
        <v>64</v>
      </c>
      <c r="C14">
        <v>1</v>
      </c>
      <c r="D14">
        <v>1</v>
      </c>
      <c r="E14" t="s">
        <v>10</v>
      </c>
      <c r="F14">
        <v>64</v>
      </c>
      <c r="G14">
        <v>1546</v>
      </c>
      <c r="H14">
        <v>1908</v>
      </c>
      <c r="J14">
        <v>8</v>
      </c>
      <c r="K14">
        <v>1</v>
      </c>
      <c r="L14">
        <v>1</v>
      </c>
      <c r="M14" t="s">
        <v>10</v>
      </c>
      <c r="N14">
        <v>3242</v>
      </c>
      <c r="O14">
        <v>3600</v>
      </c>
    </row>
    <row r="15" spans="1:15" x14ac:dyDescent="0.25">
      <c r="A15">
        <v>1</v>
      </c>
      <c r="B15">
        <v>64</v>
      </c>
      <c r="C15">
        <v>2</v>
      </c>
      <c r="D15">
        <v>1</v>
      </c>
      <c r="E15" t="s">
        <v>10</v>
      </c>
      <c r="F15">
        <v>64</v>
      </c>
      <c r="G15">
        <v>1616</v>
      </c>
      <c r="H15">
        <v>2018</v>
      </c>
      <c r="J15">
        <v>8</v>
      </c>
      <c r="K15">
        <v>2</v>
      </c>
      <c r="L15">
        <v>1</v>
      </c>
      <c r="M15" t="s">
        <v>10</v>
      </c>
      <c r="N15">
        <v>3461</v>
      </c>
      <c r="O15">
        <v>3840</v>
      </c>
    </row>
    <row r="16" spans="1:15" x14ac:dyDescent="0.25">
      <c r="A16">
        <v>1</v>
      </c>
      <c r="B16">
        <v>64</v>
      </c>
      <c r="C16">
        <v>1</v>
      </c>
      <c r="D16">
        <v>2</v>
      </c>
      <c r="E16" t="s">
        <v>10</v>
      </c>
      <c r="F16">
        <v>64</v>
      </c>
      <c r="G16">
        <v>1615</v>
      </c>
      <c r="H16">
        <v>1995</v>
      </c>
      <c r="J16">
        <v>8</v>
      </c>
      <c r="K16">
        <v>1</v>
      </c>
      <c r="L16">
        <v>2</v>
      </c>
      <c r="M16" t="s">
        <v>10</v>
      </c>
      <c r="N16">
        <v>2906</v>
      </c>
      <c r="O16">
        <v>3292</v>
      </c>
    </row>
    <row r="17" spans="1:15" x14ac:dyDescent="0.25">
      <c r="A17">
        <v>1</v>
      </c>
      <c r="B17">
        <v>64</v>
      </c>
      <c r="C17">
        <v>2</v>
      </c>
      <c r="D17">
        <v>2</v>
      </c>
      <c r="E17" t="s">
        <v>10</v>
      </c>
      <c r="F17">
        <v>64</v>
      </c>
      <c r="G17">
        <v>1602</v>
      </c>
      <c r="H17">
        <v>1991</v>
      </c>
      <c r="J17">
        <v>8</v>
      </c>
      <c r="K17">
        <v>2</v>
      </c>
      <c r="L17">
        <v>2</v>
      </c>
      <c r="M17" t="s">
        <v>10</v>
      </c>
      <c r="N17">
        <v>3112</v>
      </c>
      <c r="O17">
        <v>3497</v>
      </c>
    </row>
    <row r="18" spans="1:15" x14ac:dyDescent="0.25">
      <c r="A18">
        <v>1</v>
      </c>
      <c r="B18">
        <v>8</v>
      </c>
      <c r="C18">
        <v>1</v>
      </c>
      <c r="D18">
        <v>1</v>
      </c>
      <c r="E18" t="s">
        <v>10</v>
      </c>
      <c r="F18">
        <v>8</v>
      </c>
      <c r="G18">
        <v>4550</v>
      </c>
      <c r="H18">
        <v>4929</v>
      </c>
      <c r="J18">
        <v>16</v>
      </c>
      <c r="K18">
        <v>1</v>
      </c>
      <c r="L18">
        <v>1</v>
      </c>
      <c r="M18" t="s">
        <v>10</v>
      </c>
      <c r="N18">
        <v>2338</v>
      </c>
      <c r="O18">
        <v>2716</v>
      </c>
    </row>
    <row r="19" spans="1:15" x14ac:dyDescent="0.25">
      <c r="A19">
        <v>1</v>
      </c>
      <c r="B19">
        <v>8</v>
      </c>
      <c r="C19">
        <v>2</v>
      </c>
      <c r="D19">
        <v>1</v>
      </c>
      <c r="E19" t="s">
        <v>10</v>
      </c>
      <c r="F19">
        <v>8</v>
      </c>
      <c r="G19">
        <v>4850</v>
      </c>
      <c r="H19">
        <v>5230</v>
      </c>
      <c r="J19">
        <v>16</v>
      </c>
      <c r="K19">
        <v>2</v>
      </c>
      <c r="L19">
        <v>1</v>
      </c>
      <c r="M19" t="s">
        <v>10</v>
      </c>
      <c r="N19">
        <v>2390</v>
      </c>
      <c r="O19">
        <v>2774</v>
      </c>
    </row>
    <row r="20" spans="1:15" x14ac:dyDescent="0.25">
      <c r="A20">
        <v>1</v>
      </c>
      <c r="B20">
        <v>8</v>
      </c>
      <c r="C20">
        <v>1</v>
      </c>
      <c r="D20">
        <v>2</v>
      </c>
      <c r="E20" t="s">
        <v>10</v>
      </c>
      <c r="F20">
        <v>8</v>
      </c>
      <c r="G20">
        <v>4599</v>
      </c>
      <c r="H20">
        <v>4977</v>
      </c>
      <c r="J20">
        <v>16</v>
      </c>
      <c r="K20">
        <v>1</v>
      </c>
      <c r="L20">
        <v>2</v>
      </c>
      <c r="M20" t="s">
        <v>10</v>
      </c>
      <c r="N20">
        <v>2133</v>
      </c>
      <c r="O20">
        <v>2506</v>
      </c>
    </row>
    <row r="21" spans="1:15" x14ac:dyDescent="0.25">
      <c r="A21">
        <v>1</v>
      </c>
      <c r="B21">
        <v>8</v>
      </c>
      <c r="C21">
        <v>2</v>
      </c>
      <c r="D21">
        <v>2</v>
      </c>
      <c r="E21" t="s">
        <v>10</v>
      </c>
      <c r="F21">
        <v>8</v>
      </c>
      <c r="G21">
        <v>5033</v>
      </c>
      <c r="H21">
        <v>5422</v>
      </c>
      <c r="J21">
        <v>16</v>
      </c>
      <c r="K21">
        <v>2</v>
      </c>
      <c r="L21">
        <v>2</v>
      </c>
      <c r="M21" t="s">
        <v>10</v>
      </c>
      <c r="N21">
        <v>2310</v>
      </c>
      <c r="O21">
        <v>2695</v>
      </c>
    </row>
    <row r="22" spans="1:15" x14ac:dyDescent="0.25">
      <c r="A22">
        <v>1</v>
      </c>
      <c r="B22">
        <v>4</v>
      </c>
      <c r="C22">
        <v>1</v>
      </c>
      <c r="D22">
        <v>1</v>
      </c>
      <c r="E22" t="s">
        <v>10</v>
      </c>
      <c r="F22">
        <v>4</v>
      </c>
      <c r="G22">
        <v>6282</v>
      </c>
      <c r="H22">
        <v>6345</v>
      </c>
      <c r="J22">
        <v>24</v>
      </c>
      <c r="K22">
        <v>1</v>
      </c>
      <c r="L22">
        <v>1</v>
      </c>
      <c r="M22" t="s">
        <v>10</v>
      </c>
      <c r="N22">
        <v>2169</v>
      </c>
      <c r="O22">
        <v>2532</v>
      </c>
    </row>
    <row r="23" spans="1:15" x14ac:dyDescent="0.25">
      <c r="A23">
        <v>1</v>
      </c>
      <c r="B23">
        <v>4</v>
      </c>
      <c r="C23">
        <v>2</v>
      </c>
      <c r="D23">
        <v>1</v>
      </c>
      <c r="E23" t="s">
        <v>10</v>
      </c>
      <c r="F23">
        <v>4</v>
      </c>
      <c r="G23">
        <v>6783</v>
      </c>
      <c r="H23">
        <v>6843</v>
      </c>
      <c r="J23">
        <v>24</v>
      </c>
      <c r="K23">
        <v>2</v>
      </c>
      <c r="L23">
        <v>1</v>
      </c>
      <c r="M23" t="s">
        <v>10</v>
      </c>
      <c r="N23">
        <v>2321</v>
      </c>
      <c r="O23">
        <v>2691</v>
      </c>
    </row>
    <row r="24" spans="1:15" x14ac:dyDescent="0.25">
      <c r="A24">
        <v>1</v>
      </c>
      <c r="B24">
        <v>4</v>
      </c>
      <c r="C24">
        <v>1</v>
      </c>
      <c r="D24">
        <v>2</v>
      </c>
      <c r="E24" t="s">
        <v>10</v>
      </c>
      <c r="F24">
        <v>4</v>
      </c>
      <c r="G24">
        <v>6185</v>
      </c>
      <c r="H24">
        <v>6238</v>
      </c>
      <c r="J24">
        <v>24</v>
      </c>
      <c r="K24">
        <v>1</v>
      </c>
      <c r="L24">
        <v>2</v>
      </c>
      <c r="M24" t="s">
        <v>10</v>
      </c>
      <c r="N24">
        <v>2143</v>
      </c>
      <c r="O24">
        <v>2502</v>
      </c>
    </row>
    <row r="25" spans="1:15" x14ac:dyDescent="0.25">
      <c r="A25">
        <v>1</v>
      </c>
      <c r="B25">
        <v>4</v>
      </c>
      <c r="C25">
        <v>2</v>
      </c>
      <c r="D25">
        <v>2</v>
      </c>
      <c r="E25" t="s">
        <v>10</v>
      </c>
      <c r="F25">
        <v>4</v>
      </c>
      <c r="G25">
        <v>6838</v>
      </c>
      <c r="H25">
        <v>6894</v>
      </c>
      <c r="J25">
        <v>24</v>
      </c>
      <c r="K25">
        <v>2</v>
      </c>
      <c r="L25">
        <v>2</v>
      </c>
      <c r="M25" t="s">
        <v>10</v>
      </c>
      <c r="N25">
        <v>2304</v>
      </c>
      <c r="O25">
        <v>2687</v>
      </c>
    </row>
    <row r="26" spans="1:15" x14ac:dyDescent="0.25">
      <c r="A26">
        <v>4</v>
      </c>
      <c r="B26">
        <v>4</v>
      </c>
      <c r="C26">
        <v>1</v>
      </c>
      <c r="D26">
        <v>1</v>
      </c>
      <c r="E26" t="s">
        <v>10</v>
      </c>
      <c r="F26">
        <v>16</v>
      </c>
      <c r="G26">
        <v>3294</v>
      </c>
      <c r="H26">
        <v>3667</v>
      </c>
      <c r="J26">
        <v>1</v>
      </c>
      <c r="K26">
        <v>1</v>
      </c>
      <c r="L26">
        <v>1</v>
      </c>
      <c r="M26" t="s">
        <v>14</v>
      </c>
      <c r="N26">
        <v>645</v>
      </c>
      <c r="O26">
        <v>684</v>
      </c>
    </row>
    <row r="27" spans="1:15" x14ac:dyDescent="0.25">
      <c r="A27">
        <v>4</v>
      </c>
      <c r="B27">
        <v>4</v>
      </c>
      <c r="C27">
        <v>2</v>
      </c>
      <c r="D27">
        <v>1</v>
      </c>
      <c r="E27" t="s">
        <v>10</v>
      </c>
      <c r="F27">
        <v>16</v>
      </c>
      <c r="G27">
        <v>3562</v>
      </c>
      <c r="H27">
        <v>3944</v>
      </c>
      <c r="J27">
        <v>1</v>
      </c>
      <c r="K27">
        <v>2</v>
      </c>
      <c r="L27">
        <v>1</v>
      </c>
      <c r="M27" t="s">
        <v>14</v>
      </c>
      <c r="N27">
        <v>626</v>
      </c>
      <c r="O27">
        <v>665</v>
      </c>
    </row>
    <row r="28" spans="1:15" x14ac:dyDescent="0.25">
      <c r="A28">
        <v>4</v>
      </c>
      <c r="B28">
        <v>4</v>
      </c>
      <c r="C28">
        <v>1</v>
      </c>
      <c r="D28">
        <v>2</v>
      </c>
      <c r="E28" t="s">
        <v>10</v>
      </c>
      <c r="F28">
        <v>16</v>
      </c>
      <c r="G28">
        <v>3286</v>
      </c>
      <c r="H28">
        <v>3660</v>
      </c>
      <c r="J28">
        <v>1</v>
      </c>
      <c r="K28">
        <v>1</v>
      </c>
      <c r="L28">
        <v>2</v>
      </c>
      <c r="M28" t="s">
        <v>14</v>
      </c>
      <c r="N28">
        <v>476</v>
      </c>
      <c r="O28">
        <v>483</v>
      </c>
    </row>
    <row r="29" spans="1:15" x14ac:dyDescent="0.25">
      <c r="A29">
        <v>4</v>
      </c>
      <c r="B29">
        <v>4</v>
      </c>
      <c r="C29">
        <v>2</v>
      </c>
      <c r="D29">
        <v>2</v>
      </c>
      <c r="E29" t="s">
        <v>10</v>
      </c>
      <c r="F29">
        <v>16</v>
      </c>
      <c r="G29">
        <v>3331</v>
      </c>
      <c r="H29">
        <v>3685</v>
      </c>
      <c r="J29">
        <v>1</v>
      </c>
      <c r="K29">
        <v>2</v>
      </c>
      <c r="L29">
        <v>2</v>
      </c>
      <c r="M29" t="s">
        <v>14</v>
      </c>
      <c r="N29">
        <v>587</v>
      </c>
      <c r="O29">
        <v>595</v>
      </c>
    </row>
    <row r="30" spans="1:15" x14ac:dyDescent="0.25">
      <c r="A30">
        <v>4</v>
      </c>
      <c r="B30">
        <v>8</v>
      </c>
      <c r="C30">
        <v>1</v>
      </c>
      <c r="D30">
        <v>1</v>
      </c>
      <c r="E30" t="s">
        <v>10</v>
      </c>
      <c r="F30">
        <v>32</v>
      </c>
      <c r="G30">
        <v>2338</v>
      </c>
      <c r="H30">
        <v>2716</v>
      </c>
      <c r="J30">
        <v>2</v>
      </c>
      <c r="K30">
        <v>1</v>
      </c>
      <c r="L30">
        <v>1</v>
      </c>
      <c r="M30" t="s">
        <v>14</v>
      </c>
      <c r="N30">
        <v>455</v>
      </c>
      <c r="O30">
        <v>461</v>
      </c>
    </row>
    <row r="31" spans="1:15" x14ac:dyDescent="0.25">
      <c r="A31">
        <v>4</v>
      </c>
      <c r="B31">
        <v>8</v>
      </c>
      <c r="C31">
        <v>2</v>
      </c>
      <c r="D31">
        <v>1</v>
      </c>
      <c r="E31" t="s">
        <v>10</v>
      </c>
      <c r="F31">
        <v>32</v>
      </c>
      <c r="G31">
        <v>2390</v>
      </c>
      <c r="H31">
        <v>2774</v>
      </c>
      <c r="J31">
        <v>2</v>
      </c>
      <c r="K31">
        <v>2</v>
      </c>
      <c r="L31">
        <v>1</v>
      </c>
      <c r="M31" t="s">
        <v>14</v>
      </c>
      <c r="N31">
        <v>530</v>
      </c>
      <c r="O31">
        <v>537</v>
      </c>
    </row>
    <row r="32" spans="1:15" x14ac:dyDescent="0.25">
      <c r="A32">
        <v>4</v>
      </c>
      <c r="B32">
        <v>8</v>
      </c>
      <c r="C32">
        <v>1</v>
      </c>
      <c r="D32">
        <v>2</v>
      </c>
      <c r="E32" t="s">
        <v>10</v>
      </c>
      <c r="F32">
        <v>32</v>
      </c>
      <c r="G32">
        <v>2133</v>
      </c>
      <c r="H32">
        <v>2506</v>
      </c>
      <c r="J32">
        <v>2</v>
      </c>
      <c r="K32">
        <v>1</v>
      </c>
      <c r="L32">
        <v>2</v>
      </c>
      <c r="M32" t="s">
        <v>14</v>
      </c>
      <c r="N32">
        <v>429</v>
      </c>
      <c r="O32">
        <v>435</v>
      </c>
    </row>
    <row r="33" spans="1:15" x14ac:dyDescent="0.25">
      <c r="A33">
        <v>4</v>
      </c>
      <c r="B33">
        <v>8</v>
      </c>
      <c r="C33">
        <v>2</v>
      </c>
      <c r="D33">
        <v>2</v>
      </c>
      <c r="E33" t="s">
        <v>10</v>
      </c>
      <c r="F33">
        <v>32</v>
      </c>
      <c r="G33">
        <v>2310</v>
      </c>
      <c r="H33">
        <v>2695</v>
      </c>
      <c r="J33">
        <v>2</v>
      </c>
      <c r="K33">
        <v>2</v>
      </c>
      <c r="L33">
        <v>2</v>
      </c>
      <c r="M33" t="s">
        <v>14</v>
      </c>
      <c r="N33">
        <v>501</v>
      </c>
      <c r="O33">
        <v>507</v>
      </c>
    </row>
    <row r="34" spans="1:15" x14ac:dyDescent="0.25">
      <c r="A34">
        <v>4</v>
      </c>
      <c r="B34">
        <v>16</v>
      </c>
      <c r="C34">
        <v>1</v>
      </c>
      <c r="D34">
        <v>1</v>
      </c>
      <c r="E34" t="s">
        <v>10</v>
      </c>
      <c r="F34">
        <v>64</v>
      </c>
      <c r="G34">
        <v>1772</v>
      </c>
      <c r="H34">
        <v>2147</v>
      </c>
      <c r="J34">
        <v>4</v>
      </c>
      <c r="K34">
        <v>1</v>
      </c>
      <c r="L34">
        <v>1</v>
      </c>
      <c r="M34" t="s">
        <v>14</v>
      </c>
      <c r="N34">
        <v>185</v>
      </c>
      <c r="O34">
        <v>222</v>
      </c>
    </row>
    <row r="35" spans="1:15" x14ac:dyDescent="0.25">
      <c r="A35">
        <v>4</v>
      </c>
      <c r="B35">
        <v>16</v>
      </c>
      <c r="C35">
        <v>2</v>
      </c>
      <c r="D35">
        <v>1</v>
      </c>
      <c r="E35" t="s">
        <v>10</v>
      </c>
      <c r="F35">
        <v>64</v>
      </c>
      <c r="G35">
        <v>1801</v>
      </c>
      <c r="H35">
        <v>2194</v>
      </c>
      <c r="J35">
        <v>4</v>
      </c>
      <c r="K35">
        <v>2</v>
      </c>
      <c r="L35">
        <v>1</v>
      </c>
      <c r="M35" t="s">
        <v>14</v>
      </c>
      <c r="N35">
        <v>167</v>
      </c>
      <c r="O35">
        <v>204</v>
      </c>
    </row>
    <row r="36" spans="1:15" x14ac:dyDescent="0.25">
      <c r="A36">
        <v>4</v>
      </c>
      <c r="B36">
        <v>16</v>
      </c>
      <c r="C36">
        <v>1</v>
      </c>
      <c r="D36">
        <v>2</v>
      </c>
      <c r="E36" t="s">
        <v>10</v>
      </c>
      <c r="F36">
        <v>64</v>
      </c>
      <c r="G36">
        <v>1653</v>
      </c>
      <c r="H36">
        <v>2033</v>
      </c>
      <c r="J36">
        <v>4</v>
      </c>
      <c r="K36">
        <v>1</v>
      </c>
      <c r="L36">
        <v>2</v>
      </c>
      <c r="M36" t="s">
        <v>14</v>
      </c>
      <c r="N36">
        <v>157</v>
      </c>
      <c r="O36">
        <v>164</v>
      </c>
    </row>
    <row r="37" spans="1:15" x14ac:dyDescent="0.25">
      <c r="A37">
        <v>4</v>
      </c>
      <c r="B37">
        <v>16</v>
      </c>
      <c r="C37">
        <v>2</v>
      </c>
      <c r="D37">
        <v>2</v>
      </c>
      <c r="E37" t="s">
        <v>10</v>
      </c>
      <c r="F37">
        <v>64</v>
      </c>
      <c r="G37">
        <v>1842</v>
      </c>
      <c r="H37">
        <v>2237</v>
      </c>
      <c r="J37">
        <v>4</v>
      </c>
      <c r="K37">
        <v>2</v>
      </c>
      <c r="L37">
        <v>2</v>
      </c>
      <c r="M37" t="s">
        <v>14</v>
      </c>
      <c r="N37">
        <v>180</v>
      </c>
      <c r="O37">
        <v>187</v>
      </c>
    </row>
    <row r="38" spans="1:15" x14ac:dyDescent="0.25">
      <c r="A38">
        <v>4</v>
      </c>
      <c r="B38">
        <v>24</v>
      </c>
      <c r="C38">
        <v>1</v>
      </c>
      <c r="D38">
        <v>1</v>
      </c>
      <c r="E38" t="s">
        <v>10</v>
      </c>
      <c r="F38">
        <v>96</v>
      </c>
      <c r="G38">
        <v>1458</v>
      </c>
      <c r="H38">
        <v>1835</v>
      </c>
      <c r="J38">
        <v>8</v>
      </c>
      <c r="K38">
        <v>1</v>
      </c>
      <c r="L38">
        <v>1</v>
      </c>
      <c r="M38" t="s">
        <v>14</v>
      </c>
      <c r="N38">
        <v>158</v>
      </c>
      <c r="O38">
        <v>165</v>
      </c>
    </row>
    <row r="39" spans="1:15" x14ac:dyDescent="0.25">
      <c r="A39">
        <v>4</v>
      </c>
      <c r="B39">
        <v>24</v>
      </c>
      <c r="C39">
        <v>2</v>
      </c>
      <c r="D39">
        <v>1</v>
      </c>
      <c r="E39" t="s">
        <v>10</v>
      </c>
      <c r="F39">
        <v>96</v>
      </c>
      <c r="G39">
        <v>1562</v>
      </c>
      <c r="H39">
        <v>1916</v>
      </c>
      <c r="J39">
        <v>8</v>
      </c>
      <c r="K39">
        <v>2</v>
      </c>
      <c r="L39">
        <v>1</v>
      </c>
      <c r="M39" t="s">
        <v>14</v>
      </c>
      <c r="N39">
        <v>172</v>
      </c>
      <c r="O39">
        <v>180</v>
      </c>
    </row>
    <row r="40" spans="1:15" x14ac:dyDescent="0.25">
      <c r="A40">
        <v>4</v>
      </c>
      <c r="B40">
        <v>24</v>
      </c>
      <c r="C40">
        <v>1</v>
      </c>
      <c r="D40">
        <v>2</v>
      </c>
      <c r="E40" t="s">
        <v>10</v>
      </c>
      <c r="F40">
        <v>96</v>
      </c>
      <c r="G40">
        <v>1434</v>
      </c>
      <c r="H40">
        <v>1814</v>
      </c>
      <c r="J40">
        <v>8</v>
      </c>
      <c r="K40">
        <v>1</v>
      </c>
      <c r="L40">
        <v>2</v>
      </c>
      <c r="M40" t="s">
        <v>14</v>
      </c>
      <c r="N40">
        <v>154</v>
      </c>
      <c r="O40">
        <v>160</v>
      </c>
    </row>
    <row r="41" spans="1:15" x14ac:dyDescent="0.25">
      <c r="A41">
        <v>4</v>
      </c>
      <c r="B41">
        <v>24</v>
      </c>
      <c r="C41">
        <v>2</v>
      </c>
      <c r="D41">
        <v>2</v>
      </c>
      <c r="E41" t="s">
        <v>10</v>
      </c>
      <c r="F41">
        <v>96</v>
      </c>
      <c r="G41">
        <v>1552</v>
      </c>
      <c r="H41">
        <v>1932</v>
      </c>
      <c r="J41">
        <v>8</v>
      </c>
      <c r="K41">
        <v>2</v>
      </c>
      <c r="L41">
        <v>2</v>
      </c>
      <c r="M41" t="s">
        <v>14</v>
      </c>
      <c r="N41">
        <v>195</v>
      </c>
      <c r="O41">
        <v>229</v>
      </c>
    </row>
    <row r="42" spans="1:15" x14ac:dyDescent="0.25">
      <c r="A42">
        <v>8</v>
      </c>
      <c r="B42">
        <v>4</v>
      </c>
      <c r="C42">
        <v>1</v>
      </c>
      <c r="D42">
        <v>1</v>
      </c>
      <c r="E42" t="s">
        <v>10</v>
      </c>
      <c r="F42">
        <v>32</v>
      </c>
      <c r="G42">
        <v>2949</v>
      </c>
      <c r="H42">
        <v>3311</v>
      </c>
      <c r="J42">
        <v>16</v>
      </c>
      <c r="K42">
        <v>1</v>
      </c>
      <c r="L42">
        <v>1</v>
      </c>
      <c r="M42" t="s">
        <v>14</v>
      </c>
      <c r="N42">
        <v>208</v>
      </c>
      <c r="O42">
        <v>214</v>
      </c>
    </row>
    <row r="43" spans="1:15" x14ac:dyDescent="0.25">
      <c r="A43">
        <v>8</v>
      </c>
      <c r="B43">
        <v>4</v>
      </c>
      <c r="C43">
        <v>2</v>
      </c>
      <c r="D43">
        <v>1</v>
      </c>
      <c r="E43" t="s">
        <v>10</v>
      </c>
      <c r="F43">
        <v>32</v>
      </c>
      <c r="G43">
        <v>3265</v>
      </c>
      <c r="H43">
        <v>3600</v>
      </c>
      <c r="J43">
        <v>16</v>
      </c>
      <c r="K43">
        <v>2</v>
      </c>
      <c r="L43">
        <v>1</v>
      </c>
      <c r="M43" t="s">
        <v>14</v>
      </c>
      <c r="N43">
        <v>200</v>
      </c>
      <c r="O43">
        <v>205</v>
      </c>
    </row>
    <row r="44" spans="1:15" x14ac:dyDescent="0.25">
      <c r="A44">
        <v>8</v>
      </c>
      <c r="B44">
        <v>4</v>
      </c>
      <c r="C44">
        <v>1</v>
      </c>
      <c r="D44">
        <v>2</v>
      </c>
      <c r="E44" t="s">
        <v>10</v>
      </c>
      <c r="F44">
        <v>32</v>
      </c>
      <c r="G44">
        <v>2701</v>
      </c>
      <c r="H44">
        <v>3075</v>
      </c>
      <c r="J44">
        <v>16</v>
      </c>
      <c r="K44">
        <v>1</v>
      </c>
      <c r="L44">
        <v>2</v>
      </c>
      <c r="M44" t="s">
        <v>14</v>
      </c>
      <c r="N44">
        <v>182</v>
      </c>
      <c r="O44">
        <v>188</v>
      </c>
    </row>
    <row r="45" spans="1:15" x14ac:dyDescent="0.25">
      <c r="A45">
        <v>8</v>
      </c>
      <c r="B45">
        <v>4</v>
      </c>
      <c r="C45">
        <v>2</v>
      </c>
      <c r="D45">
        <v>2</v>
      </c>
      <c r="E45" t="s">
        <v>10</v>
      </c>
      <c r="F45">
        <v>32</v>
      </c>
      <c r="G45">
        <v>3082</v>
      </c>
      <c r="H45">
        <v>3492</v>
      </c>
      <c r="J45">
        <v>16</v>
      </c>
      <c r="K45">
        <v>2</v>
      </c>
      <c r="L45">
        <v>2</v>
      </c>
      <c r="M45" t="s">
        <v>14</v>
      </c>
      <c r="N45">
        <v>175</v>
      </c>
      <c r="O45">
        <v>181</v>
      </c>
    </row>
    <row r="46" spans="1:15" x14ac:dyDescent="0.25">
      <c r="A46">
        <v>8</v>
      </c>
      <c r="B46">
        <v>8</v>
      </c>
      <c r="C46">
        <v>1</v>
      </c>
      <c r="D46">
        <v>1</v>
      </c>
      <c r="E46" t="s">
        <v>10</v>
      </c>
      <c r="F46">
        <v>64</v>
      </c>
      <c r="G46">
        <v>1792</v>
      </c>
      <c r="H46">
        <v>2163</v>
      </c>
      <c r="J46">
        <v>24</v>
      </c>
      <c r="K46">
        <v>1</v>
      </c>
      <c r="L46">
        <v>1</v>
      </c>
      <c r="M46" t="s">
        <v>14</v>
      </c>
      <c r="N46">
        <v>146</v>
      </c>
      <c r="O46">
        <v>152</v>
      </c>
    </row>
    <row r="47" spans="1:15" x14ac:dyDescent="0.25">
      <c r="A47">
        <v>8</v>
      </c>
      <c r="B47">
        <v>8</v>
      </c>
      <c r="C47">
        <v>2</v>
      </c>
      <c r="D47">
        <v>1</v>
      </c>
      <c r="E47" t="s">
        <v>10</v>
      </c>
      <c r="F47">
        <v>64</v>
      </c>
      <c r="G47">
        <v>1920</v>
      </c>
      <c r="H47">
        <v>2349</v>
      </c>
      <c r="J47">
        <v>24</v>
      </c>
      <c r="K47">
        <v>2</v>
      </c>
      <c r="L47">
        <v>1</v>
      </c>
      <c r="M47" t="s">
        <v>14</v>
      </c>
      <c r="N47">
        <v>202</v>
      </c>
      <c r="O47">
        <v>240</v>
      </c>
    </row>
    <row r="48" spans="1:15" x14ac:dyDescent="0.25">
      <c r="A48">
        <v>8</v>
      </c>
      <c r="B48">
        <v>8</v>
      </c>
      <c r="C48">
        <v>1</v>
      </c>
      <c r="D48">
        <v>2</v>
      </c>
      <c r="E48" t="s">
        <v>10</v>
      </c>
      <c r="F48">
        <v>64</v>
      </c>
      <c r="G48">
        <v>2000</v>
      </c>
      <c r="H48">
        <v>2372</v>
      </c>
      <c r="J48">
        <v>24</v>
      </c>
      <c r="K48">
        <v>1</v>
      </c>
      <c r="L48">
        <v>2</v>
      </c>
      <c r="M48" t="s">
        <v>14</v>
      </c>
      <c r="N48">
        <v>140</v>
      </c>
      <c r="O48">
        <v>145</v>
      </c>
    </row>
    <row r="49" spans="1:15" x14ac:dyDescent="0.25">
      <c r="A49">
        <v>8</v>
      </c>
      <c r="B49">
        <v>8</v>
      </c>
      <c r="C49">
        <v>2</v>
      </c>
      <c r="D49">
        <v>2</v>
      </c>
      <c r="E49" t="s">
        <v>10</v>
      </c>
      <c r="F49">
        <v>64</v>
      </c>
      <c r="G49">
        <v>2117</v>
      </c>
      <c r="H49">
        <v>2500</v>
      </c>
      <c r="J49">
        <v>24</v>
      </c>
      <c r="K49">
        <v>2</v>
      </c>
      <c r="L49">
        <v>2</v>
      </c>
      <c r="M49" t="s">
        <v>14</v>
      </c>
      <c r="N49">
        <v>188</v>
      </c>
      <c r="O49">
        <v>194</v>
      </c>
    </row>
    <row r="50" spans="1:15" x14ac:dyDescent="0.25">
      <c r="A50">
        <v>8</v>
      </c>
      <c r="B50">
        <v>12</v>
      </c>
      <c r="C50">
        <v>1</v>
      </c>
      <c r="D50">
        <v>1</v>
      </c>
      <c r="E50" t="s">
        <v>10</v>
      </c>
      <c r="F50">
        <v>96</v>
      </c>
      <c r="G50">
        <v>1620</v>
      </c>
      <c r="H50">
        <v>1989</v>
      </c>
      <c r="J50">
        <v>1</v>
      </c>
      <c r="K50">
        <v>1</v>
      </c>
      <c r="L50">
        <v>1</v>
      </c>
      <c r="M50" t="s">
        <v>18</v>
      </c>
      <c r="N50">
        <v>158</v>
      </c>
      <c r="O50">
        <v>163</v>
      </c>
    </row>
    <row r="51" spans="1:15" x14ac:dyDescent="0.25">
      <c r="A51">
        <v>8</v>
      </c>
      <c r="B51">
        <v>12</v>
      </c>
      <c r="C51">
        <v>2</v>
      </c>
      <c r="D51">
        <v>1</v>
      </c>
      <c r="E51" t="s">
        <v>10</v>
      </c>
      <c r="F51">
        <v>96</v>
      </c>
      <c r="G51">
        <v>1945</v>
      </c>
      <c r="H51">
        <v>2329</v>
      </c>
      <c r="J51">
        <v>1</v>
      </c>
      <c r="K51">
        <v>2</v>
      </c>
      <c r="L51">
        <v>1</v>
      </c>
      <c r="M51" t="s">
        <v>18</v>
      </c>
      <c r="N51">
        <v>209</v>
      </c>
      <c r="O51">
        <v>213</v>
      </c>
    </row>
    <row r="52" spans="1:15" x14ac:dyDescent="0.25">
      <c r="A52">
        <v>8</v>
      </c>
      <c r="B52">
        <v>12</v>
      </c>
      <c r="C52">
        <v>1</v>
      </c>
      <c r="D52">
        <v>2</v>
      </c>
      <c r="E52" t="s">
        <v>10</v>
      </c>
      <c r="F52">
        <v>96</v>
      </c>
      <c r="G52">
        <v>1517</v>
      </c>
      <c r="H52">
        <v>1885</v>
      </c>
      <c r="J52">
        <v>1</v>
      </c>
      <c r="K52">
        <v>1</v>
      </c>
      <c r="L52">
        <v>2</v>
      </c>
      <c r="M52" t="s">
        <v>18</v>
      </c>
      <c r="N52">
        <v>151</v>
      </c>
      <c r="O52">
        <v>155</v>
      </c>
    </row>
    <row r="53" spans="1:15" x14ac:dyDescent="0.25">
      <c r="A53">
        <v>8</v>
      </c>
      <c r="B53">
        <v>12</v>
      </c>
      <c r="C53">
        <v>2</v>
      </c>
      <c r="D53">
        <v>2</v>
      </c>
      <c r="E53" t="s">
        <v>10</v>
      </c>
      <c r="F53">
        <v>96</v>
      </c>
      <c r="G53">
        <v>1839</v>
      </c>
      <c r="H53">
        <v>2254</v>
      </c>
      <c r="J53">
        <v>1</v>
      </c>
      <c r="K53">
        <v>2</v>
      </c>
      <c r="L53">
        <v>2</v>
      </c>
      <c r="M53" t="s">
        <v>18</v>
      </c>
      <c r="N53">
        <v>176</v>
      </c>
      <c r="O53">
        <v>180</v>
      </c>
    </row>
    <row r="54" spans="1:15" x14ac:dyDescent="0.25">
      <c r="A54">
        <v>0</v>
      </c>
      <c r="B54">
        <v>0</v>
      </c>
      <c r="C54">
        <v>1</v>
      </c>
      <c r="D54">
        <v>1</v>
      </c>
      <c r="E54" t="s">
        <v>14</v>
      </c>
      <c r="F54">
        <v>0</v>
      </c>
      <c r="G54">
        <v>477</v>
      </c>
      <c r="H54">
        <v>483</v>
      </c>
      <c r="J54">
        <v>2</v>
      </c>
      <c r="K54">
        <v>1</v>
      </c>
      <c r="L54">
        <v>1</v>
      </c>
      <c r="M54" t="s">
        <v>18</v>
      </c>
      <c r="N54">
        <v>142</v>
      </c>
      <c r="O54">
        <v>146</v>
      </c>
    </row>
    <row r="55" spans="1:15" x14ac:dyDescent="0.25">
      <c r="A55">
        <v>0</v>
      </c>
      <c r="B55">
        <v>0</v>
      </c>
      <c r="C55">
        <v>2</v>
      </c>
      <c r="D55">
        <v>1</v>
      </c>
      <c r="E55" t="s">
        <v>14</v>
      </c>
      <c r="F55">
        <v>0</v>
      </c>
      <c r="G55">
        <v>544</v>
      </c>
      <c r="H55">
        <v>550</v>
      </c>
      <c r="J55">
        <v>2</v>
      </c>
      <c r="K55">
        <v>2</v>
      </c>
      <c r="L55">
        <v>1</v>
      </c>
      <c r="M55" t="s">
        <v>18</v>
      </c>
      <c r="N55">
        <v>157</v>
      </c>
      <c r="O55">
        <v>161</v>
      </c>
    </row>
    <row r="56" spans="1:15" x14ac:dyDescent="0.25">
      <c r="A56">
        <v>0</v>
      </c>
      <c r="B56">
        <v>0</v>
      </c>
      <c r="C56">
        <v>1</v>
      </c>
      <c r="D56">
        <v>2</v>
      </c>
      <c r="E56" t="s">
        <v>14</v>
      </c>
      <c r="F56">
        <v>0</v>
      </c>
      <c r="G56">
        <v>522</v>
      </c>
      <c r="H56">
        <v>528</v>
      </c>
      <c r="J56">
        <v>2</v>
      </c>
      <c r="K56">
        <v>1</v>
      </c>
      <c r="L56">
        <v>2</v>
      </c>
      <c r="M56" t="s">
        <v>18</v>
      </c>
      <c r="N56">
        <v>160</v>
      </c>
      <c r="O56">
        <v>164</v>
      </c>
    </row>
    <row r="57" spans="1:15" x14ac:dyDescent="0.25">
      <c r="A57">
        <v>0</v>
      </c>
      <c r="B57">
        <v>0</v>
      </c>
      <c r="C57">
        <v>2</v>
      </c>
      <c r="D57">
        <v>2</v>
      </c>
      <c r="E57" t="s">
        <v>14</v>
      </c>
      <c r="F57">
        <v>0</v>
      </c>
      <c r="G57">
        <v>532</v>
      </c>
      <c r="H57">
        <v>570</v>
      </c>
      <c r="J57">
        <v>2</v>
      </c>
      <c r="K57">
        <v>2</v>
      </c>
      <c r="L57">
        <v>2</v>
      </c>
      <c r="M57" t="s">
        <v>18</v>
      </c>
      <c r="N57">
        <v>165</v>
      </c>
      <c r="O57">
        <v>169</v>
      </c>
    </row>
    <row r="58" spans="1:15" x14ac:dyDescent="0.25">
      <c r="A58">
        <v>1</v>
      </c>
      <c r="B58">
        <v>32</v>
      </c>
      <c r="C58">
        <v>1</v>
      </c>
      <c r="D58">
        <v>1</v>
      </c>
      <c r="E58" t="s">
        <v>14</v>
      </c>
      <c r="F58">
        <v>32</v>
      </c>
      <c r="G58">
        <v>149</v>
      </c>
      <c r="H58">
        <v>154</v>
      </c>
      <c r="J58">
        <v>4</v>
      </c>
      <c r="K58">
        <v>1</v>
      </c>
      <c r="L58">
        <v>1</v>
      </c>
      <c r="M58" t="s">
        <v>18</v>
      </c>
      <c r="N58">
        <v>93</v>
      </c>
      <c r="O58">
        <v>97</v>
      </c>
    </row>
    <row r="59" spans="1:15" x14ac:dyDescent="0.25">
      <c r="A59">
        <v>1</v>
      </c>
      <c r="B59">
        <v>32</v>
      </c>
      <c r="C59">
        <v>2</v>
      </c>
      <c r="D59">
        <v>1</v>
      </c>
      <c r="E59" t="s">
        <v>14</v>
      </c>
      <c r="F59">
        <v>32</v>
      </c>
      <c r="G59">
        <v>176</v>
      </c>
      <c r="H59">
        <v>181</v>
      </c>
      <c r="J59">
        <v>4</v>
      </c>
      <c r="K59">
        <v>2</v>
      </c>
      <c r="L59">
        <v>1</v>
      </c>
      <c r="M59" t="s">
        <v>18</v>
      </c>
      <c r="N59">
        <v>88</v>
      </c>
      <c r="O59">
        <v>92</v>
      </c>
    </row>
    <row r="60" spans="1:15" x14ac:dyDescent="0.25">
      <c r="A60">
        <v>1</v>
      </c>
      <c r="B60">
        <v>32</v>
      </c>
      <c r="C60">
        <v>1</v>
      </c>
      <c r="D60">
        <v>2</v>
      </c>
      <c r="E60" t="s">
        <v>14</v>
      </c>
      <c r="F60">
        <v>32</v>
      </c>
      <c r="G60">
        <v>145</v>
      </c>
      <c r="H60">
        <v>151</v>
      </c>
      <c r="J60">
        <v>4</v>
      </c>
      <c r="K60">
        <v>1</v>
      </c>
      <c r="L60">
        <v>2</v>
      </c>
      <c r="M60" t="s">
        <v>18</v>
      </c>
      <c r="N60">
        <v>90</v>
      </c>
      <c r="O60">
        <v>93</v>
      </c>
    </row>
    <row r="61" spans="1:15" x14ac:dyDescent="0.25">
      <c r="A61">
        <v>1</v>
      </c>
      <c r="B61">
        <v>32</v>
      </c>
      <c r="C61">
        <v>2</v>
      </c>
      <c r="D61">
        <v>2</v>
      </c>
      <c r="E61" t="s">
        <v>14</v>
      </c>
      <c r="F61">
        <v>32</v>
      </c>
      <c r="G61">
        <v>160</v>
      </c>
      <c r="H61">
        <v>166</v>
      </c>
      <c r="J61">
        <v>4</v>
      </c>
      <c r="K61">
        <v>2</v>
      </c>
      <c r="L61">
        <v>2</v>
      </c>
      <c r="M61" t="s">
        <v>18</v>
      </c>
      <c r="N61">
        <v>86</v>
      </c>
      <c r="O61">
        <v>89</v>
      </c>
    </row>
    <row r="62" spans="1:15" x14ac:dyDescent="0.25">
      <c r="A62">
        <v>1</v>
      </c>
      <c r="B62">
        <v>16</v>
      </c>
      <c r="C62">
        <v>1</v>
      </c>
      <c r="D62">
        <v>1</v>
      </c>
      <c r="E62" t="s">
        <v>14</v>
      </c>
      <c r="F62">
        <v>16</v>
      </c>
      <c r="G62">
        <v>197</v>
      </c>
      <c r="H62">
        <v>205</v>
      </c>
      <c r="J62">
        <v>8</v>
      </c>
      <c r="K62">
        <v>1</v>
      </c>
      <c r="L62">
        <v>1</v>
      </c>
      <c r="M62" t="s">
        <v>18</v>
      </c>
      <c r="N62">
        <v>87</v>
      </c>
      <c r="O62">
        <v>91</v>
      </c>
    </row>
    <row r="63" spans="1:15" x14ac:dyDescent="0.25">
      <c r="A63">
        <v>1</v>
      </c>
      <c r="B63">
        <v>16</v>
      </c>
      <c r="C63">
        <v>2</v>
      </c>
      <c r="D63">
        <v>1</v>
      </c>
      <c r="E63" t="s">
        <v>14</v>
      </c>
      <c r="F63">
        <v>16</v>
      </c>
      <c r="G63">
        <v>216</v>
      </c>
      <c r="H63">
        <v>225</v>
      </c>
      <c r="J63">
        <v>8</v>
      </c>
      <c r="K63">
        <v>2</v>
      </c>
      <c r="L63">
        <v>1</v>
      </c>
      <c r="M63" t="s">
        <v>18</v>
      </c>
      <c r="N63">
        <v>87</v>
      </c>
      <c r="O63">
        <v>91</v>
      </c>
    </row>
    <row r="64" spans="1:15" x14ac:dyDescent="0.25">
      <c r="A64">
        <v>1</v>
      </c>
      <c r="B64">
        <v>16</v>
      </c>
      <c r="C64">
        <v>1</v>
      </c>
      <c r="D64">
        <v>2</v>
      </c>
      <c r="E64" t="s">
        <v>14</v>
      </c>
      <c r="F64">
        <v>16</v>
      </c>
      <c r="G64">
        <v>189</v>
      </c>
      <c r="H64">
        <v>195</v>
      </c>
      <c r="J64">
        <v>8</v>
      </c>
      <c r="K64">
        <v>1</v>
      </c>
      <c r="L64">
        <v>2</v>
      </c>
      <c r="M64" t="s">
        <v>18</v>
      </c>
      <c r="N64">
        <v>78</v>
      </c>
      <c r="O64">
        <v>82</v>
      </c>
    </row>
    <row r="65" spans="1:15" x14ac:dyDescent="0.25">
      <c r="A65">
        <v>1</v>
      </c>
      <c r="B65">
        <v>16</v>
      </c>
      <c r="C65">
        <v>2</v>
      </c>
      <c r="D65">
        <v>2</v>
      </c>
      <c r="E65" t="s">
        <v>14</v>
      </c>
      <c r="F65">
        <v>16</v>
      </c>
      <c r="G65">
        <v>220</v>
      </c>
      <c r="H65">
        <v>227</v>
      </c>
      <c r="J65">
        <v>8</v>
      </c>
      <c r="K65">
        <v>2</v>
      </c>
      <c r="L65">
        <v>2</v>
      </c>
      <c r="M65" t="s">
        <v>18</v>
      </c>
      <c r="N65">
        <v>92</v>
      </c>
      <c r="O65">
        <v>95</v>
      </c>
    </row>
    <row r="66" spans="1:15" x14ac:dyDescent="0.25">
      <c r="A66">
        <v>1</v>
      </c>
      <c r="B66">
        <v>64</v>
      </c>
      <c r="C66">
        <v>1</v>
      </c>
      <c r="D66">
        <v>1</v>
      </c>
      <c r="E66" t="s">
        <v>14</v>
      </c>
      <c r="F66">
        <v>64</v>
      </c>
      <c r="G66">
        <v>133</v>
      </c>
      <c r="H66">
        <v>170</v>
      </c>
      <c r="J66">
        <v>16</v>
      </c>
      <c r="K66">
        <v>1</v>
      </c>
      <c r="L66">
        <v>1</v>
      </c>
      <c r="M66" t="s">
        <v>18</v>
      </c>
      <c r="N66">
        <v>82</v>
      </c>
      <c r="O66">
        <v>85</v>
      </c>
    </row>
    <row r="67" spans="1:15" x14ac:dyDescent="0.25">
      <c r="A67">
        <v>1</v>
      </c>
      <c r="B67">
        <v>64</v>
      </c>
      <c r="C67">
        <v>2</v>
      </c>
      <c r="D67">
        <v>1</v>
      </c>
      <c r="E67" t="s">
        <v>14</v>
      </c>
      <c r="F67">
        <v>64</v>
      </c>
      <c r="G67">
        <v>178</v>
      </c>
      <c r="H67">
        <v>218</v>
      </c>
      <c r="J67">
        <v>16</v>
      </c>
      <c r="K67">
        <v>2</v>
      </c>
      <c r="L67">
        <v>1</v>
      </c>
      <c r="M67" t="s">
        <v>18</v>
      </c>
      <c r="N67">
        <v>86</v>
      </c>
      <c r="O67">
        <v>90</v>
      </c>
    </row>
    <row r="68" spans="1:15" x14ac:dyDescent="0.25">
      <c r="A68">
        <v>1</v>
      </c>
      <c r="B68">
        <v>64</v>
      </c>
      <c r="C68">
        <v>1</v>
      </c>
      <c r="D68">
        <v>2</v>
      </c>
      <c r="E68" t="s">
        <v>14</v>
      </c>
      <c r="F68">
        <v>64</v>
      </c>
      <c r="G68">
        <v>121</v>
      </c>
      <c r="H68">
        <v>127</v>
      </c>
      <c r="J68">
        <v>16</v>
      </c>
      <c r="K68">
        <v>1</v>
      </c>
      <c r="L68">
        <v>2</v>
      </c>
      <c r="M68" t="s">
        <v>18</v>
      </c>
      <c r="N68">
        <v>80</v>
      </c>
      <c r="O68">
        <v>83</v>
      </c>
    </row>
    <row r="69" spans="1:15" x14ac:dyDescent="0.25">
      <c r="A69">
        <v>1</v>
      </c>
      <c r="B69">
        <v>64</v>
      </c>
      <c r="C69">
        <v>2</v>
      </c>
      <c r="D69">
        <v>2</v>
      </c>
      <c r="E69" t="s">
        <v>14</v>
      </c>
      <c r="F69">
        <v>64</v>
      </c>
      <c r="G69">
        <v>118</v>
      </c>
      <c r="H69">
        <v>125</v>
      </c>
      <c r="J69">
        <v>16</v>
      </c>
      <c r="K69">
        <v>2</v>
      </c>
      <c r="L69">
        <v>2</v>
      </c>
      <c r="M69" t="s">
        <v>18</v>
      </c>
      <c r="N69">
        <v>84</v>
      </c>
      <c r="O69">
        <v>88</v>
      </c>
    </row>
    <row r="70" spans="1:15" x14ac:dyDescent="0.25">
      <c r="A70">
        <v>1</v>
      </c>
      <c r="B70">
        <v>8</v>
      </c>
      <c r="C70">
        <v>1</v>
      </c>
      <c r="D70">
        <v>1</v>
      </c>
      <c r="E70" t="s">
        <v>14</v>
      </c>
      <c r="F70">
        <v>8</v>
      </c>
      <c r="G70">
        <v>248</v>
      </c>
      <c r="H70">
        <v>253</v>
      </c>
      <c r="J70">
        <v>24</v>
      </c>
      <c r="K70">
        <v>1</v>
      </c>
      <c r="L70">
        <v>1</v>
      </c>
      <c r="M70" t="s">
        <v>18</v>
      </c>
      <c r="N70">
        <v>88</v>
      </c>
      <c r="O70">
        <v>91</v>
      </c>
    </row>
    <row r="71" spans="1:15" x14ac:dyDescent="0.25">
      <c r="A71">
        <v>1</v>
      </c>
      <c r="B71">
        <v>8</v>
      </c>
      <c r="C71">
        <v>2</v>
      </c>
      <c r="D71">
        <v>1</v>
      </c>
      <c r="E71" t="s">
        <v>14</v>
      </c>
      <c r="F71">
        <v>8</v>
      </c>
      <c r="G71">
        <v>267</v>
      </c>
      <c r="H71">
        <v>272</v>
      </c>
      <c r="J71">
        <v>24</v>
      </c>
      <c r="K71">
        <v>2</v>
      </c>
      <c r="L71">
        <v>1</v>
      </c>
      <c r="M71" t="s">
        <v>18</v>
      </c>
      <c r="N71">
        <v>98</v>
      </c>
      <c r="O71">
        <v>103</v>
      </c>
    </row>
    <row r="72" spans="1:15" x14ac:dyDescent="0.25">
      <c r="A72">
        <v>1</v>
      </c>
      <c r="B72">
        <v>8</v>
      </c>
      <c r="C72">
        <v>1</v>
      </c>
      <c r="D72">
        <v>2</v>
      </c>
      <c r="E72" t="s">
        <v>14</v>
      </c>
      <c r="F72">
        <v>8</v>
      </c>
      <c r="G72">
        <v>257</v>
      </c>
      <c r="H72">
        <v>264</v>
      </c>
      <c r="J72">
        <v>24</v>
      </c>
      <c r="K72">
        <v>1</v>
      </c>
      <c r="L72">
        <v>2</v>
      </c>
      <c r="M72" t="s">
        <v>18</v>
      </c>
      <c r="N72">
        <v>91</v>
      </c>
      <c r="O72">
        <v>95</v>
      </c>
    </row>
    <row r="73" spans="1:15" x14ac:dyDescent="0.25">
      <c r="A73">
        <v>1</v>
      </c>
      <c r="B73">
        <v>8</v>
      </c>
      <c r="C73">
        <v>2</v>
      </c>
      <c r="D73">
        <v>2</v>
      </c>
      <c r="E73" t="s">
        <v>14</v>
      </c>
      <c r="F73">
        <v>8</v>
      </c>
      <c r="G73">
        <v>268</v>
      </c>
      <c r="H73">
        <v>275</v>
      </c>
      <c r="J73">
        <v>24</v>
      </c>
      <c r="K73">
        <v>2</v>
      </c>
      <c r="L73">
        <v>2</v>
      </c>
      <c r="M73" t="s">
        <v>18</v>
      </c>
      <c r="N73">
        <v>94</v>
      </c>
      <c r="O73">
        <v>98</v>
      </c>
    </row>
    <row r="74" spans="1:15" x14ac:dyDescent="0.25">
      <c r="A74">
        <v>1</v>
      </c>
      <c r="B74">
        <v>4</v>
      </c>
      <c r="C74">
        <v>1</v>
      </c>
      <c r="D74">
        <v>1</v>
      </c>
      <c r="E74" t="s">
        <v>14</v>
      </c>
      <c r="F74">
        <v>4</v>
      </c>
      <c r="G74">
        <v>319</v>
      </c>
      <c r="H74">
        <v>332</v>
      </c>
    </row>
    <row r="75" spans="1:15" x14ac:dyDescent="0.25">
      <c r="A75">
        <v>1</v>
      </c>
      <c r="B75">
        <v>4</v>
      </c>
      <c r="C75">
        <v>2</v>
      </c>
      <c r="D75">
        <v>1</v>
      </c>
      <c r="E75" t="s">
        <v>14</v>
      </c>
      <c r="F75">
        <v>4</v>
      </c>
      <c r="G75">
        <v>357</v>
      </c>
      <c r="H75">
        <v>367</v>
      </c>
    </row>
    <row r="76" spans="1:15" x14ac:dyDescent="0.25">
      <c r="A76">
        <v>1</v>
      </c>
      <c r="B76">
        <v>4</v>
      </c>
      <c r="C76">
        <v>1</v>
      </c>
      <c r="D76">
        <v>2</v>
      </c>
      <c r="E76" t="s">
        <v>14</v>
      </c>
      <c r="F76">
        <v>4</v>
      </c>
      <c r="G76">
        <v>323</v>
      </c>
      <c r="H76">
        <v>329</v>
      </c>
    </row>
    <row r="77" spans="1:15" x14ac:dyDescent="0.25">
      <c r="A77">
        <v>1</v>
      </c>
      <c r="B77">
        <v>4</v>
      </c>
      <c r="C77">
        <v>2</v>
      </c>
      <c r="D77">
        <v>2</v>
      </c>
      <c r="E77" t="s">
        <v>14</v>
      </c>
      <c r="F77">
        <v>4</v>
      </c>
      <c r="G77">
        <v>336</v>
      </c>
      <c r="H77">
        <v>343</v>
      </c>
    </row>
    <row r="78" spans="1:15" x14ac:dyDescent="0.25">
      <c r="A78">
        <v>4</v>
      </c>
      <c r="B78">
        <v>4</v>
      </c>
      <c r="C78">
        <v>1</v>
      </c>
      <c r="D78">
        <v>1</v>
      </c>
      <c r="E78" t="s">
        <v>14</v>
      </c>
      <c r="F78">
        <v>16</v>
      </c>
      <c r="G78">
        <v>243</v>
      </c>
      <c r="H78">
        <v>248</v>
      </c>
    </row>
    <row r="79" spans="1:15" x14ac:dyDescent="0.25">
      <c r="A79">
        <v>4</v>
      </c>
      <c r="B79">
        <v>4</v>
      </c>
      <c r="C79">
        <v>2</v>
      </c>
      <c r="D79">
        <v>1</v>
      </c>
      <c r="E79" t="s">
        <v>14</v>
      </c>
      <c r="F79">
        <v>16</v>
      </c>
      <c r="G79">
        <v>234</v>
      </c>
      <c r="H79">
        <v>239</v>
      </c>
    </row>
    <row r="80" spans="1:15" x14ac:dyDescent="0.25">
      <c r="A80">
        <v>4</v>
      </c>
      <c r="B80">
        <v>4</v>
      </c>
      <c r="C80">
        <v>1</v>
      </c>
      <c r="D80">
        <v>2</v>
      </c>
      <c r="E80" t="s">
        <v>14</v>
      </c>
      <c r="F80">
        <v>16</v>
      </c>
      <c r="G80">
        <v>231</v>
      </c>
      <c r="H80">
        <v>236</v>
      </c>
    </row>
    <row r="81" spans="1:8" x14ac:dyDescent="0.25">
      <c r="A81">
        <v>4</v>
      </c>
      <c r="B81">
        <v>4</v>
      </c>
      <c r="C81">
        <v>2</v>
      </c>
      <c r="D81">
        <v>2</v>
      </c>
      <c r="E81" t="s">
        <v>14</v>
      </c>
      <c r="F81">
        <v>16</v>
      </c>
      <c r="G81">
        <v>231</v>
      </c>
      <c r="H81">
        <v>237</v>
      </c>
    </row>
    <row r="82" spans="1:8" x14ac:dyDescent="0.25">
      <c r="A82">
        <v>4</v>
      </c>
      <c r="B82">
        <v>8</v>
      </c>
      <c r="C82">
        <v>1</v>
      </c>
      <c r="D82">
        <v>1</v>
      </c>
      <c r="E82" t="s">
        <v>14</v>
      </c>
      <c r="F82">
        <v>32</v>
      </c>
      <c r="G82">
        <v>208</v>
      </c>
      <c r="H82">
        <v>214</v>
      </c>
    </row>
    <row r="83" spans="1:8" x14ac:dyDescent="0.25">
      <c r="A83">
        <v>4</v>
      </c>
      <c r="B83">
        <v>8</v>
      </c>
      <c r="C83">
        <v>2</v>
      </c>
      <c r="D83">
        <v>1</v>
      </c>
      <c r="E83" t="s">
        <v>14</v>
      </c>
      <c r="F83">
        <v>32</v>
      </c>
      <c r="G83">
        <v>200</v>
      </c>
      <c r="H83">
        <v>205</v>
      </c>
    </row>
    <row r="84" spans="1:8" x14ac:dyDescent="0.25">
      <c r="A84">
        <v>4</v>
      </c>
      <c r="B84">
        <v>8</v>
      </c>
      <c r="C84">
        <v>1</v>
      </c>
      <c r="D84">
        <v>2</v>
      </c>
      <c r="E84" t="s">
        <v>14</v>
      </c>
      <c r="F84">
        <v>32</v>
      </c>
      <c r="G84">
        <v>182</v>
      </c>
      <c r="H84">
        <v>188</v>
      </c>
    </row>
    <row r="85" spans="1:8" x14ac:dyDescent="0.25">
      <c r="A85">
        <v>4</v>
      </c>
      <c r="B85">
        <v>8</v>
      </c>
      <c r="C85">
        <v>2</v>
      </c>
      <c r="D85">
        <v>2</v>
      </c>
      <c r="E85" t="s">
        <v>14</v>
      </c>
      <c r="F85">
        <v>32</v>
      </c>
      <c r="G85">
        <v>175</v>
      </c>
      <c r="H85">
        <v>181</v>
      </c>
    </row>
    <row r="86" spans="1:8" x14ac:dyDescent="0.25">
      <c r="A86">
        <v>4</v>
      </c>
      <c r="B86">
        <v>16</v>
      </c>
      <c r="C86">
        <v>1</v>
      </c>
      <c r="D86">
        <v>1</v>
      </c>
      <c r="E86" t="s">
        <v>14</v>
      </c>
      <c r="F86">
        <v>64</v>
      </c>
      <c r="G86">
        <v>129</v>
      </c>
      <c r="H86">
        <v>167</v>
      </c>
    </row>
    <row r="87" spans="1:8" x14ac:dyDescent="0.25">
      <c r="A87">
        <v>4</v>
      </c>
      <c r="B87">
        <v>16</v>
      </c>
      <c r="C87">
        <v>2</v>
      </c>
      <c r="D87">
        <v>1</v>
      </c>
      <c r="E87" t="s">
        <v>14</v>
      </c>
      <c r="F87">
        <v>64</v>
      </c>
      <c r="G87">
        <v>168</v>
      </c>
      <c r="H87">
        <v>212</v>
      </c>
    </row>
    <row r="88" spans="1:8" x14ac:dyDescent="0.25">
      <c r="A88">
        <v>4</v>
      </c>
      <c r="B88">
        <v>16</v>
      </c>
      <c r="C88">
        <v>1</v>
      </c>
      <c r="D88">
        <v>2</v>
      </c>
      <c r="E88" t="s">
        <v>14</v>
      </c>
      <c r="F88">
        <v>64</v>
      </c>
      <c r="G88">
        <v>124</v>
      </c>
      <c r="H88">
        <v>130</v>
      </c>
    </row>
    <row r="89" spans="1:8" x14ac:dyDescent="0.25">
      <c r="A89">
        <v>4</v>
      </c>
      <c r="B89">
        <v>16</v>
      </c>
      <c r="C89">
        <v>2</v>
      </c>
      <c r="D89">
        <v>2</v>
      </c>
      <c r="E89" t="s">
        <v>14</v>
      </c>
      <c r="F89">
        <v>64</v>
      </c>
      <c r="G89">
        <v>169</v>
      </c>
      <c r="H89">
        <v>207</v>
      </c>
    </row>
    <row r="90" spans="1:8" x14ac:dyDescent="0.25">
      <c r="A90">
        <v>4</v>
      </c>
      <c r="B90">
        <v>24</v>
      </c>
      <c r="C90">
        <v>1</v>
      </c>
      <c r="D90">
        <v>1</v>
      </c>
      <c r="E90" t="s">
        <v>14</v>
      </c>
      <c r="F90">
        <v>96</v>
      </c>
      <c r="G90">
        <v>136</v>
      </c>
      <c r="H90">
        <v>174</v>
      </c>
    </row>
    <row r="91" spans="1:8" x14ac:dyDescent="0.25">
      <c r="A91">
        <v>4</v>
      </c>
      <c r="B91">
        <v>24</v>
      </c>
      <c r="C91">
        <v>2</v>
      </c>
      <c r="D91">
        <v>1</v>
      </c>
      <c r="E91" t="s">
        <v>14</v>
      </c>
      <c r="F91">
        <v>96</v>
      </c>
      <c r="G91">
        <v>138</v>
      </c>
      <c r="H91">
        <v>144</v>
      </c>
    </row>
    <row r="92" spans="1:8" x14ac:dyDescent="0.25">
      <c r="A92">
        <v>4</v>
      </c>
      <c r="B92">
        <v>24</v>
      </c>
      <c r="C92">
        <v>1</v>
      </c>
      <c r="D92">
        <v>2</v>
      </c>
      <c r="E92" t="s">
        <v>14</v>
      </c>
      <c r="F92">
        <v>96</v>
      </c>
      <c r="G92">
        <v>131</v>
      </c>
      <c r="H92">
        <v>137</v>
      </c>
    </row>
    <row r="93" spans="1:8" x14ac:dyDescent="0.25">
      <c r="A93">
        <v>4</v>
      </c>
      <c r="B93">
        <v>24</v>
      </c>
      <c r="C93">
        <v>2</v>
      </c>
      <c r="D93">
        <v>2</v>
      </c>
      <c r="E93" t="s">
        <v>14</v>
      </c>
      <c r="F93">
        <v>96</v>
      </c>
      <c r="G93">
        <v>135</v>
      </c>
      <c r="H93">
        <v>141</v>
      </c>
    </row>
    <row r="94" spans="1:8" x14ac:dyDescent="0.25">
      <c r="A94">
        <v>8</v>
      </c>
      <c r="B94">
        <v>4</v>
      </c>
      <c r="C94">
        <v>1</v>
      </c>
      <c r="D94">
        <v>1</v>
      </c>
      <c r="E94" t="s">
        <v>14</v>
      </c>
      <c r="F94">
        <v>32</v>
      </c>
      <c r="G94">
        <v>276</v>
      </c>
      <c r="H94">
        <v>282</v>
      </c>
    </row>
    <row r="95" spans="1:8" x14ac:dyDescent="0.25">
      <c r="A95">
        <v>8</v>
      </c>
      <c r="B95">
        <v>4</v>
      </c>
      <c r="C95">
        <v>2</v>
      </c>
      <c r="D95">
        <v>1</v>
      </c>
      <c r="E95" t="s">
        <v>14</v>
      </c>
      <c r="F95">
        <v>32</v>
      </c>
      <c r="G95">
        <v>236</v>
      </c>
      <c r="H95">
        <v>241</v>
      </c>
    </row>
    <row r="96" spans="1:8" x14ac:dyDescent="0.25">
      <c r="A96">
        <v>8</v>
      </c>
      <c r="B96">
        <v>4</v>
      </c>
      <c r="C96">
        <v>1</v>
      </c>
      <c r="D96">
        <v>2</v>
      </c>
      <c r="E96" t="s">
        <v>14</v>
      </c>
      <c r="F96">
        <v>32</v>
      </c>
      <c r="G96">
        <v>242</v>
      </c>
      <c r="H96">
        <v>256</v>
      </c>
    </row>
    <row r="97" spans="1:8" x14ac:dyDescent="0.25">
      <c r="A97">
        <v>8</v>
      </c>
      <c r="B97">
        <v>4</v>
      </c>
      <c r="C97">
        <v>2</v>
      </c>
      <c r="D97">
        <v>2</v>
      </c>
      <c r="E97" t="s">
        <v>14</v>
      </c>
      <c r="F97">
        <v>32</v>
      </c>
      <c r="G97">
        <v>230</v>
      </c>
      <c r="H97">
        <v>265</v>
      </c>
    </row>
    <row r="98" spans="1:8" x14ac:dyDescent="0.25">
      <c r="A98">
        <v>8</v>
      </c>
      <c r="B98">
        <v>8</v>
      </c>
      <c r="C98">
        <v>1</v>
      </c>
      <c r="D98">
        <v>1</v>
      </c>
      <c r="E98" t="s">
        <v>14</v>
      </c>
      <c r="F98">
        <v>64</v>
      </c>
      <c r="G98">
        <v>184</v>
      </c>
      <c r="H98">
        <v>190</v>
      </c>
    </row>
    <row r="99" spans="1:8" x14ac:dyDescent="0.25">
      <c r="A99">
        <v>8</v>
      </c>
      <c r="B99">
        <v>8</v>
      </c>
      <c r="C99">
        <v>2</v>
      </c>
      <c r="D99">
        <v>1</v>
      </c>
      <c r="E99" t="s">
        <v>14</v>
      </c>
      <c r="F99">
        <v>64</v>
      </c>
      <c r="G99">
        <v>120</v>
      </c>
      <c r="H99">
        <v>186</v>
      </c>
    </row>
    <row r="100" spans="1:8" x14ac:dyDescent="0.25">
      <c r="A100">
        <v>8</v>
      </c>
      <c r="B100">
        <v>8</v>
      </c>
      <c r="C100">
        <v>1</v>
      </c>
      <c r="D100">
        <v>2</v>
      </c>
      <c r="E100" t="s">
        <v>14</v>
      </c>
      <c r="F100">
        <v>64</v>
      </c>
      <c r="G100">
        <v>163</v>
      </c>
      <c r="H100">
        <v>169</v>
      </c>
    </row>
    <row r="101" spans="1:8" x14ac:dyDescent="0.25">
      <c r="A101">
        <v>8</v>
      </c>
      <c r="B101">
        <v>8</v>
      </c>
      <c r="C101">
        <v>2</v>
      </c>
      <c r="D101">
        <v>2</v>
      </c>
      <c r="E101" t="s">
        <v>14</v>
      </c>
      <c r="F101">
        <v>64</v>
      </c>
      <c r="G101">
        <v>161</v>
      </c>
      <c r="H101">
        <v>166</v>
      </c>
    </row>
    <row r="102" spans="1:8" x14ac:dyDescent="0.25">
      <c r="A102">
        <v>8</v>
      </c>
      <c r="B102">
        <v>12</v>
      </c>
      <c r="C102">
        <v>1</v>
      </c>
      <c r="D102">
        <v>1</v>
      </c>
      <c r="E102" t="s">
        <v>14</v>
      </c>
      <c r="F102">
        <v>96</v>
      </c>
      <c r="G102">
        <v>144</v>
      </c>
      <c r="H102">
        <v>150</v>
      </c>
    </row>
    <row r="103" spans="1:8" x14ac:dyDescent="0.25">
      <c r="A103">
        <v>8</v>
      </c>
      <c r="B103">
        <v>12</v>
      </c>
      <c r="C103">
        <v>2</v>
      </c>
      <c r="D103">
        <v>1</v>
      </c>
      <c r="E103" t="s">
        <v>14</v>
      </c>
      <c r="F103">
        <v>96</v>
      </c>
      <c r="G103">
        <v>158</v>
      </c>
      <c r="H103">
        <v>163</v>
      </c>
    </row>
    <row r="104" spans="1:8" x14ac:dyDescent="0.25">
      <c r="A104">
        <v>8</v>
      </c>
      <c r="B104">
        <v>12</v>
      </c>
      <c r="C104">
        <v>1</v>
      </c>
      <c r="D104">
        <v>2</v>
      </c>
      <c r="E104" t="s">
        <v>14</v>
      </c>
      <c r="F104">
        <v>96</v>
      </c>
      <c r="G104">
        <v>138</v>
      </c>
      <c r="H104">
        <v>144</v>
      </c>
    </row>
    <row r="105" spans="1:8" x14ac:dyDescent="0.25">
      <c r="A105">
        <v>8</v>
      </c>
      <c r="B105">
        <v>12</v>
      </c>
      <c r="C105">
        <v>2</v>
      </c>
      <c r="D105">
        <v>2</v>
      </c>
      <c r="E105" t="s">
        <v>14</v>
      </c>
      <c r="F105">
        <v>96</v>
      </c>
      <c r="G105">
        <v>154</v>
      </c>
      <c r="H105">
        <v>159</v>
      </c>
    </row>
    <row r="106" spans="1:8" x14ac:dyDescent="0.25">
      <c r="A106">
        <v>0</v>
      </c>
      <c r="B106">
        <v>0</v>
      </c>
      <c r="C106">
        <v>1</v>
      </c>
      <c r="D106">
        <v>1</v>
      </c>
      <c r="E106" t="s">
        <v>18</v>
      </c>
      <c r="F106">
        <v>0</v>
      </c>
      <c r="G106">
        <v>146</v>
      </c>
      <c r="H106">
        <v>152</v>
      </c>
    </row>
    <row r="107" spans="1:8" x14ac:dyDescent="0.25">
      <c r="A107">
        <v>0</v>
      </c>
      <c r="B107">
        <v>0</v>
      </c>
      <c r="C107">
        <v>2</v>
      </c>
      <c r="D107">
        <v>1</v>
      </c>
      <c r="E107" t="s">
        <v>18</v>
      </c>
      <c r="F107">
        <v>0</v>
      </c>
      <c r="G107">
        <v>174</v>
      </c>
      <c r="H107">
        <v>179</v>
      </c>
    </row>
    <row r="108" spans="1:8" x14ac:dyDescent="0.25">
      <c r="A108">
        <v>0</v>
      </c>
      <c r="B108">
        <v>0</v>
      </c>
      <c r="C108">
        <v>1</v>
      </c>
      <c r="D108">
        <v>2</v>
      </c>
      <c r="E108" t="s">
        <v>18</v>
      </c>
      <c r="F108">
        <v>0</v>
      </c>
      <c r="G108">
        <v>170</v>
      </c>
      <c r="H108">
        <v>173</v>
      </c>
    </row>
    <row r="109" spans="1:8" x14ac:dyDescent="0.25">
      <c r="A109">
        <v>0</v>
      </c>
      <c r="B109">
        <v>0</v>
      </c>
      <c r="C109">
        <v>2</v>
      </c>
      <c r="D109">
        <v>2</v>
      </c>
      <c r="E109" t="s">
        <v>18</v>
      </c>
      <c r="F109">
        <v>0</v>
      </c>
      <c r="G109">
        <v>181</v>
      </c>
      <c r="H109">
        <v>185</v>
      </c>
    </row>
    <row r="110" spans="1:8" x14ac:dyDescent="0.25">
      <c r="A110">
        <v>1</v>
      </c>
      <c r="B110">
        <v>32</v>
      </c>
      <c r="C110">
        <v>1</v>
      </c>
      <c r="D110">
        <v>1</v>
      </c>
      <c r="E110" t="s">
        <v>18</v>
      </c>
      <c r="F110">
        <v>32</v>
      </c>
      <c r="G110">
        <v>77</v>
      </c>
      <c r="H110">
        <v>80</v>
      </c>
    </row>
    <row r="111" spans="1:8" x14ac:dyDescent="0.25">
      <c r="A111">
        <v>1</v>
      </c>
      <c r="B111">
        <v>32</v>
      </c>
      <c r="C111">
        <v>2</v>
      </c>
      <c r="D111">
        <v>1</v>
      </c>
      <c r="E111" t="s">
        <v>18</v>
      </c>
      <c r="F111">
        <v>32</v>
      </c>
      <c r="G111">
        <v>85</v>
      </c>
      <c r="H111">
        <v>89</v>
      </c>
    </row>
    <row r="112" spans="1:8" x14ac:dyDescent="0.25">
      <c r="A112">
        <v>1</v>
      </c>
      <c r="B112">
        <v>32</v>
      </c>
      <c r="C112">
        <v>1</v>
      </c>
      <c r="D112">
        <v>2</v>
      </c>
      <c r="E112" t="s">
        <v>18</v>
      </c>
      <c r="F112">
        <v>32</v>
      </c>
      <c r="G112">
        <v>84</v>
      </c>
      <c r="H112">
        <v>87</v>
      </c>
    </row>
    <row r="113" spans="1:8" x14ac:dyDescent="0.25">
      <c r="A113">
        <v>1</v>
      </c>
      <c r="B113">
        <v>32</v>
      </c>
      <c r="C113">
        <v>2</v>
      </c>
      <c r="D113">
        <v>2</v>
      </c>
      <c r="E113" t="s">
        <v>18</v>
      </c>
      <c r="F113">
        <v>32</v>
      </c>
      <c r="G113">
        <v>88</v>
      </c>
      <c r="H113">
        <v>91</v>
      </c>
    </row>
    <row r="114" spans="1:8" x14ac:dyDescent="0.25">
      <c r="A114">
        <v>1</v>
      </c>
      <c r="B114">
        <v>16</v>
      </c>
      <c r="C114">
        <v>1</v>
      </c>
      <c r="D114">
        <v>1</v>
      </c>
      <c r="E114" t="s">
        <v>18</v>
      </c>
      <c r="F114">
        <v>16</v>
      </c>
      <c r="G114">
        <v>98</v>
      </c>
      <c r="H114">
        <v>102</v>
      </c>
    </row>
    <row r="115" spans="1:8" x14ac:dyDescent="0.25">
      <c r="A115">
        <v>1</v>
      </c>
      <c r="B115">
        <v>16</v>
      </c>
      <c r="C115">
        <v>2</v>
      </c>
      <c r="D115">
        <v>1</v>
      </c>
      <c r="E115" t="s">
        <v>18</v>
      </c>
      <c r="F115">
        <v>16</v>
      </c>
      <c r="G115">
        <v>110</v>
      </c>
      <c r="H115">
        <v>114</v>
      </c>
    </row>
    <row r="116" spans="1:8" x14ac:dyDescent="0.25">
      <c r="A116">
        <v>1</v>
      </c>
      <c r="B116">
        <v>16</v>
      </c>
      <c r="C116">
        <v>1</v>
      </c>
      <c r="D116">
        <v>2</v>
      </c>
      <c r="E116" t="s">
        <v>18</v>
      </c>
      <c r="F116">
        <v>16</v>
      </c>
      <c r="G116">
        <v>88</v>
      </c>
      <c r="H116">
        <v>92</v>
      </c>
    </row>
    <row r="117" spans="1:8" x14ac:dyDescent="0.25">
      <c r="A117">
        <v>1</v>
      </c>
      <c r="B117">
        <v>16</v>
      </c>
      <c r="C117">
        <v>2</v>
      </c>
      <c r="D117">
        <v>2</v>
      </c>
      <c r="E117" t="s">
        <v>18</v>
      </c>
      <c r="F117">
        <v>16</v>
      </c>
      <c r="G117">
        <v>95</v>
      </c>
      <c r="H117">
        <v>99</v>
      </c>
    </row>
    <row r="118" spans="1:8" x14ac:dyDescent="0.25">
      <c r="A118">
        <v>1</v>
      </c>
      <c r="B118">
        <v>64</v>
      </c>
      <c r="C118">
        <v>1</v>
      </c>
      <c r="D118">
        <v>1</v>
      </c>
      <c r="E118" t="s">
        <v>18</v>
      </c>
      <c r="F118">
        <v>64</v>
      </c>
      <c r="G118">
        <v>87</v>
      </c>
      <c r="H118">
        <v>107</v>
      </c>
    </row>
    <row r="119" spans="1:8" x14ac:dyDescent="0.25">
      <c r="A119">
        <v>1</v>
      </c>
      <c r="B119">
        <v>64</v>
      </c>
      <c r="C119">
        <v>2</v>
      </c>
      <c r="D119">
        <v>1</v>
      </c>
      <c r="E119" t="s">
        <v>18</v>
      </c>
      <c r="F119">
        <v>64</v>
      </c>
      <c r="G119">
        <v>104</v>
      </c>
      <c r="H119">
        <v>109</v>
      </c>
    </row>
    <row r="120" spans="1:8" x14ac:dyDescent="0.25">
      <c r="A120">
        <v>1</v>
      </c>
      <c r="B120">
        <v>64</v>
      </c>
      <c r="C120">
        <v>1</v>
      </c>
      <c r="D120">
        <v>2</v>
      </c>
      <c r="E120" t="s">
        <v>18</v>
      </c>
      <c r="F120">
        <v>64</v>
      </c>
      <c r="G120">
        <v>77</v>
      </c>
      <c r="H120">
        <v>81</v>
      </c>
    </row>
    <row r="121" spans="1:8" x14ac:dyDescent="0.25">
      <c r="A121">
        <v>1</v>
      </c>
      <c r="B121">
        <v>64</v>
      </c>
      <c r="C121">
        <v>2</v>
      </c>
      <c r="D121">
        <v>2</v>
      </c>
      <c r="E121" t="s">
        <v>18</v>
      </c>
      <c r="F121">
        <v>64</v>
      </c>
      <c r="G121">
        <v>101</v>
      </c>
      <c r="H121">
        <v>105</v>
      </c>
    </row>
    <row r="122" spans="1:8" x14ac:dyDescent="0.25">
      <c r="A122">
        <v>1</v>
      </c>
      <c r="B122">
        <v>8</v>
      </c>
      <c r="C122">
        <v>1</v>
      </c>
      <c r="D122">
        <v>1</v>
      </c>
      <c r="E122" t="s">
        <v>18</v>
      </c>
      <c r="F122">
        <v>8</v>
      </c>
      <c r="G122">
        <v>121</v>
      </c>
      <c r="H122">
        <v>125</v>
      </c>
    </row>
    <row r="123" spans="1:8" x14ac:dyDescent="0.25">
      <c r="A123">
        <v>1</v>
      </c>
      <c r="B123">
        <v>8</v>
      </c>
      <c r="C123">
        <v>2</v>
      </c>
      <c r="D123">
        <v>1</v>
      </c>
      <c r="E123" t="s">
        <v>18</v>
      </c>
      <c r="F123">
        <v>8</v>
      </c>
      <c r="G123">
        <v>122</v>
      </c>
      <c r="H123">
        <v>125</v>
      </c>
    </row>
    <row r="124" spans="1:8" x14ac:dyDescent="0.25">
      <c r="A124">
        <v>1</v>
      </c>
      <c r="B124">
        <v>8</v>
      </c>
      <c r="C124">
        <v>1</v>
      </c>
      <c r="D124">
        <v>2</v>
      </c>
      <c r="E124" t="s">
        <v>18</v>
      </c>
      <c r="F124">
        <v>8</v>
      </c>
      <c r="G124">
        <v>109</v>
      </c>
      <c r="H124">
        <v>112</v>
      </c>
    </row>
    <row r="125" spans="1:8" x14ac:dyDescent="0.25">
      <c r="A125">
        <v>1</v>
      </c>
      <c r="B125">
        <v>8</v>
      </c>
      <c r="C125">
        <v>2</v>
      </c>
      <c r="D125">
        <v>2</v>
      </c>
      <c r="E125" t="s">
        <v>18</v>
      </c>
      <c r="F125">
        <v>8</v>
      </c>
      <c r="G125">
        <v>118</v>
      </c>
      <c r="H125">
        <v>122</v>
      </c>
    </row>
    <row r="126" spans="1:8" x14ac:dyDescent="0.25">
      <c r="A126">
        <v>1</v>
      </c>
      <c r="B126">
        <v>4</v>
      </c>
      <c r="C126">
        <v>1</v>
      </c>
      <c r="D126">
        <v>1</v>
      </c>
      <c r="E126" t="s">
        <v>18</v>
      </c>
      <c r="F126">
        <v>4</v>
      </c>
      <c r="G126">
        <v>123</v>
      </c>
      <c r="H126">
        <v>127</v>
      </c>
    </row>
    <row r="127" spans="1:8" x14ac:dyDescent="0.25">
      <c r="A127">
        <v>1</v>
      </c>
      <c r="B127">
        <v>4</v>
      </c>
      <c r="C127">
        <v>2</v>
      </c>
      <c r="D127">
        <v>1</v>
      </c>
      <c r="E127" t="s">
        <v>18</v>
      </c>
      <c r="F127">
        <v>4</v>
      </c>
      <c r="G127">
        <v>123</v>
      </c>
      <c r="H127">
        <v>127</v>
      </c>
    </row>
    <row r="128" spans="1:8" x14ac:dyDescent="0.25">
      <c r="A128">
        <v>1</v>
      </c>
      <c r="B128">
        <v>4</v>
      </c>
      <c r="C128">
        <v>1</v>
      </c>
      <c r="D128">
        <v>2</v>
      </c>
      <c r="E128" t="s">
        <v>18</v>
      </c>
      <c r="F128">
        <v>4</v>
      </c>
      <c r="G128">
        <v>133</v>
      </c>
      <c r="H128">
        <v>136</v>
      </c>
    </row>
    <row r="129" spans="1:8" x14ac:dyDescent="0.25">
      <c r="A129">
        <v>1</v>
      </c>
      <c r="B129">
        <v>4</v>
      </c>
      <c r="C129">
        <v>2</v>
      </c>
      <c r="D129">
        <v>2</v>
      </c>
      <c r="E129" t="s">
        <v>18</v>
      </c>
      <c r="F129">
        <v>4</v>
      </c>
      <c r="G129">
        <v>139</v>
      </c>
      <c r="H129">
        <v>142</v>
      </c>
    </row>
    <row r="130" spans="1:8" x14ac:dyDescent="0.25">
      <c r="A130">
        <v>4</v>
      </c>
      <c r="B130">
        <v>4</v>
      </c>
      <c r="C130">
        <v>1</v>
      </c>
      <c r="D130">
        <v>1</v>
      </c>
      <c r="E130" t="s">
        <v>18</v>
      </c>
      <c r="F130">
        <v>16</v>
      </c>
      <c r="G130">
        <v>102</v>
      </c>
      <c r="H130">
        <v>106</v>
      </c>
    </row>
    <row r="131" spans="1:8" x14ac:dyDescent="0.25">
      <c r="A131">
        <v>4</v>
      </c>
      <c r="B131">
        <v>4</v>
      </c>
      <c r="C131">
        <v>2</v>
      </c>
      <c r="D131">
        <v>1</v>
      </c>
      <c r="E131" t="s">
        <v>18</v>
      </c>
      <c r="F131">
        <v>16</v>
      </c>
      <c r="G131">
        <v>104</v>
      </c>
      <c r="H131">
        <v>108</v>
      </c>
    </row>
    <row r="132" spans="1:8" x14ac:dyDescent="0.25">
      <c r="A132">
        <v>4</v>
      </c>
      <c r="B132">
        <v>4</v>
      </c>
      <c r="C132">
        <v>1</v>
      </c>
      <c r="D132">
        <v>2</v>
      </c>
      <c r="E132" t="s">
        <v>18</v>
      </c>
      <c r="F132">
        <v>16</v>
      </c>
      <c r="G132">
        <v>97</v>
      </c>
      <c r="H132">
        <v>100</v>
      </c>
    </row>
    <row r="133" spans="1:8" x14ac:dyDescent="0.25">
      <c r="A133">
        <v>4</v>
      </c>
      <c r="B133">
        <v>4</v>
      </c>
      <c r="C133">
        <v>2</v>
      </c>
      <c r="D133">
        <v>2</v>
      </c>
      <c r="E133" t="s">
        <v>18</v>
      </c>
      <c r="F133">
        <v>16</v>
      </c>
      <c r="G133">
        <v>101</v>
      </c>
      <c r="H133">
        <v>104</v>
      </c>
    </row>
    <row r="134" spans="1:8" x14ac:dyDescent="0.25">
      <c r="A134">
        <v>4</v>
      </c>
      <c r="B134">
        <v>8</v>
      </c>
      <c r="C134">
        <v>1</v>
      </c>
      <c r="D134">
        <v>1</v>
      </c>
      <c r="E134" t="s">
        <v>18</v>
      </c>
      <c r="F134">
        <v>32</v>
      </c>
      <c r="G134">
        <v>82</v>
      </c>
      <c r="H134">
        <v>85</v>
      </c>
    </row>
    <row r="135" spans="1:8" x14ac:dyDescent="0.25">
      <c r="A135">
        <v>4</v>
      </c>
      <c r="B135">
        <v>8</v>
      </c>
      <c r="C135">
        <v>2</v>
      </c>
      <c r="D135">
        <v>1</v>
      </c>
      <c r="E135" t="s">
        <v>18</v>
      </c>
      <c r="F135">
        <v>32</v>
      </c>
      <c r="G135">
        <v>86</v>
      </c>
      <c r="H135">
        <v>90</v>
      </c>
    </row>
    <row r="136" spans="1:8" x14ac:dyDescent="0.25">
      <c r="A136">
        <v>4</v>
      </c>
      <c r="B136">
        <v>8</v>
      </c>
      <c r="C136">
        <v>1</v>
      </c>
      <c r="D136">
        <v>2</v>
      </c>
      <c r="E136" t="s">
        <v>18</v>
      </c>
      <c r="F136">
        <v>32</v>
      </c>
      <c r="G136">
        <v>80</v>
      </c>
      <c r="H136">
        <v>83</v>
      </c>
    </row>
    <row r="137" spans="1:8" x14ac:dyDescent="0.25">
      <c r="A137">
        <v>4</v>
      </c>
      <c r="B137">
        <v>8</v>
      </c>
      <c r="C137">
        <v>2</v>
      </c>
      <c r="D137">
        <v>2</v>
      </c>
      <c r="E137" t="s">
        <v>18</v>
      </c>
      <c r="F137">
        <v>32</v>
      </c>
      <c r="G137">
        <v>84</v>
      </c>
      <c r="H137">
        <v>88</v>
      </c>
    </row>
    <row r="138" spans="1:8" x14ac:dyDescent="0.25">
      <c r="A138">
        <v>4</v>
      </c>
      <c r="B138">
        <v>16</v>
      </c>
      <c r="C138">
        <v>1</v>
      </c>
      <c r="D138">
        <v>1</v>
      </c>
      <c r="E138" t="s">
        <v>18</v>
      </c>
      <c r="F138">
        <v>64</v>
      </c>
      <c r="G138">
        <v>82</v>
      </c>
      <c r="H138">
        <v>86</v>
      </c>
    </row>
    <row r="139" spans="1:8" x14ac:dyDescent="0.25">
      <c r="A139">
        <v>4</v>
      </c>
      <c r="B139">
        <v>16</v>
      </c>
      <c r="C139">
        <v>2</v>
      </c>
      <c r="D139">
        <v>1</v>
      </c>
      <c r="E139" t="s">
        <v>18</v>
      </c>
      <c r="F139">
        <v>64</v>
      </c>
      <c r="G139">
        <v>84</v>
      </c>
      <c r="H139">
        <v>88</v>
      </c>
    </row>
    <row r="140" spans="1:8" x14ac:dyDescent="0.25">
      <c r="A140">
        <v>4</v>
      </c>
      <c r="B140">
        <v>16</v>
      </c>
      <c r="C140">
        <v>1</v>
      </c>
      <c r="D140">
        <v>2</v>
      </c>
      <c r="E140" t="s">
        <v>18</v>
      </c>
      <c r="F140">
        <v>64</v>
      </c>
      <c r="G140">
        <v>75</v>
      </c>
      <c r="H140">
        <v>78</v>
      </c>
    </row>
    <row r="141" spans="1:8" x14ac:dyDescent="0.25">
      <c r="A141">
        <v>4</v>
      </c>
      <c r="B141">
        <v>16</v>
      </c>
      <c r="C141">
        <v>2</v>
      </c>
      <c r="D141">
        <v>2</v>
      </c>
      <c r="E141" t="s">
        <v>18</v>
      </c>
      <c r="F141">
        <v>64</v>
      </c>
      <c r="G141">
        <v>80</v>
      </c>
      <c r="H141">
        <v>84</v>
      </c>
    </row>
    <row r="142" spans="1:8" x14ac:dyDescent="0.25">
      <c r="A142">
        <v>4</v>
      </c>
      <c r="B142">
        <v>24</v>
      </c>
      <c r="C142">
        <v>1</v>
      </c>
      <c r="D142">
        <v>1</v>
      </c>
      <c r="E142" t="s">
        <v>18</v>
      </c>
      <c r="F142">
        <v>96</v>
      </c>
      <c r="G142">
        <v>78</v>
      </c>
      <c r="H142">
        <v>82</v>
      </c>
    </row>
    <row r="143" spans="1:8" x14ac:dyDescent="0.25">
      <c r="A143">
        <v>4</v>
      </c>
      <c r="B143">
        <v>24</v>
      </c>
      <c r="C143">
        <v>2</v>
      </c>
      <c r="D143">
        <v>1</v>
      </c>
      <c r="E143" t="s">
        <v>18</v>
      </c>
      <c r="F143">
        <v>96</v>
      </c>
      <c r="G143">
        <v>84</v>
      </c>
      <c r="H143">
        <v>88</v>
      </c>
    </row>
    <row r="144" spans="1:8" x14ac:dyDescent="0.25">
      <c r="A144">
        <v>4</v>
      </c>
      <c r="B144">
        <v>24</v>
      </c>
      <c r="C144">
        <v>1</v>
      </c>
      <c r="D144">
        <v>2</v>
      </c>
      <c r="E144" t="s">
        <v>18</v>
      </c>
      <c r="F144">
        <v>96</v>
      </c>
      <c r="G144">
        <v>81</v>
      </c>
      <c r="H144">
        <v>85</v>
      </c>
    </row>
    <row r="145" spans="1:8" x14ac:dyDescent="0.25">
      <c r="A145">
        <v>4</v>
      </c>
      <c r="B145">
        <v>24</v>
      </c>
      <c r="C145">
        <v>2</v>
      </c>
      <c r="D145">
        <v>2</v>
      </c>
      <c r="E145" t="s">
        <v>18</v>
      </c>
      <c r="F145">
        <v>96</v>
      </c>
      <c r="G145">
        <v>85</v>
      </c>
      <c r="H145">
        <v>90</v>
      </c>
    </row>
    <row r="146" spans="1:8" x14ac:dyDescent="0.25">
      <c r="A146">
        <v>8</v>
      </c>
      <c r="B146">
        <v>4</v>
      </c>
      <c r="C146">
        <v>1</v>
      </c>
      <c r="D146">
        <v>1</v>
      </c>
      <c r="E146" t="s">
        <v>18</v>
      </c>
      <c r="F146">
        <v>32</v>
      </c>
      <c r="G146">
        <v>98</v>
      </c>
      <c r="H146">
        <v>119</v>
      </c>
    </row>
    <row r="147" spans="1:8" x14ac:dyDescent="0.25">
      <c r="A147">
        <v>8</v>
      </c>
      <c r="B147">
        <v>4</v>
      </c>
      <c r="C147">
        <v>2</v>
      </c>
      <c r="D147">
        <v>1</v>
      </c>
      <c r="E147" t="s">
        <v>18</v>
      </c>
      <c r="F147">
        <v>32</v>
      </c>
      <c r="G147">
        <v>151</v>
      </c>
      <c r="H147">
        <v>155</v>
      </c>
    </row>
    <row r="148" spans="1:8" x14ac:dyDescent="0.25">
      <c r="A148">
        <v>8</v>
      </c>
      <c r="B148">
        <v>4</v>
      </c>
      <c r="C148">
        <v>1</v>
      </c>
      <c r="D148">
        <v>2</v>
      </c>
      <c r="E148" t="s">
        <v>18</v>
      </c>
      <c r="F148">
        <v>32</v>
      </c>
      <c r="G148">
        <v>92</v>
      </c>
      <c r="H148">
        <v>96</v>
      </c>
    </row>
    <row r="149" spans="1:8" x14ac:dyDescent="0.25">
      <c r="A149">
        <v>8</v>
      </c>
      <c r="B149">
        <v>4</v>
      </c>
      <c r="C149">
        <v>2</v>
      </c>
      <c r="D149">
        <v>2</v>
      </c>
      <c r="E149" t="s">
        <v>18</v>
      </c>
      <c r="F149">
        <v>32</v>
      </c>
      <c r="G149">
        <v>107</v>
      </c>
      <c r="H149">
        <v>127</v>
      </c>
    </row>
    <row r="150" spans="1:8" x14ac:dyDescent="0.25">
      <c r="A150">
        <v>8</v>
      </c>
      <c r="B150">
        <v>8</v>
      </c>
      <c r="C150">
        <v>1</v>
      </c>
      <c r="D150">
        <v>1</v>
      </c>
      <c r="E150" t="s">
        <v>18</v>
      </c>
      <c r="F150">
        <v>64</v>
      </c>
      <c r="G150">
        <v>87</v>
      </c>
      <c r="H150">
        <v>91</v>
      </c>
    </row>
    <row r="151" spans="1:8" x14ac:dyDescent="0.25">
      <c r="A151">
        <v>8</v>
      </c>
      <c r="B151">
        <v>8</v>
      </c>
      <c r="C151">
        <v>2</v>
      </c>
      <c r="D151">
        <v>1</v>
      </c>
      <c r="E151" t="s">
        <v>18</v>
      </c>
      <c r="F151">
        <v>64</v>
      </c>
      <c r="G151">
        <v>93</v>
      </c>
      <c r="H151">
        <v>97</v>
      </c>
    </row>
    <row r="152" spans="1:8" x14ac:dyDescent="0.25">
      <c r="A152">
        <v>8</v>
      </c>
      <c r="B152">
        <v>8</v>
      </c>
      <c r="C152">
        <v>1</v>
      </c>
      <c r="D152">
        <v>2</v>
      </c>
      <c r="E152" t="s">
        <v>18</v>
      </c>
      <c r="F152">
        <v>64</v>
      </c>
      <c r="G152">
        <v>86</v>
      </c>
      <c r="H152">
        <v>90</v>
      </c>
    </row>
    <row r="153" spans="1:8" x14ac:dyDescent="0.25">
      <c r="A153">
        <v>8</v>
      </c>
      <c r="B153">
        <v>8</v>
      </c>
      <c r="C153">
        <v>2</v>
      </c>
      <c r="D153">
        <v>2</v>
      </c>
      <c r="E153" t="s">
        <v>18</v>
      </c>
      <c r="F153">
        <v>64</v>
      </c>
      <c r="G153">
        <v>91</v>
      </c>
      <c r="H153">
        <v>94</v>
      </c>
    </row>
    <row r="154" spans="1:8" x14ac:dyDescent="0.25">
      <c r="A154">
        <v>8</v>
      </c>
      <c r="B154">
        <v>12</v>
      </c>
      <c r="C154">
        <v>1</v>
      </c>
      <c r="D154">
        <v>1</v>
      </c>
      <c r="E154" t="s">
        <v>18</v>
      </c>
      <c r="F154">
        <v>96</v>
      </c>
      <c r="G154">
        <v>98</v>
      </c>
      <c r="H154">
        <v>101</v>
      </c>
    </row>
    <row r="155" spans="1:8" x14ac:dyDescent="0.25">
      <c r="A155">
        <v>8</v>
      </c>
      <c r="B155">
        <v>12</v>
      </c>
      <c r="C155">
        <v>2</v>
      </c>
      <c r="D155">
        <v>1</v>
      </c>
      <c r="E155" t="s">
        <v>18</v>
      </c>
      <c r="F155">
        <v>96</v>
      </c>
      <c r="G155">
        <v>87</v>
      </c>
      <c r="H155">
        <v>90</v>
      </c>
    </row>
    <row r="156" spans="1:8" x14ac:dyDescent="0.25">
      <c r="A156">
        <v>8</v>
      </c>
      <c r="B156">
        <v>12</v>
      </c>
      <c r="C156">
        <v>1</v>
      </c>
      <c r="D156">
        <v>2</v>
      </c>
      <c r="E156" t="s">
        <v>18</v>
      </c>
      <c r="F156">
        <v>96</v>
      </c>
      <c r="G156">
        <v>85</v>
      </c>
      <c r="H156">
        <v>89</v>
      </c>
    </row>
    <row r="157" spans="1:8" x14ac:dyDescent="0.25">
      <c r="A157">
        <v>8</v>
      </c>
      <c r="B157">
        <v>12</v>
      </c>
      <c r="C157">
        <v>2</v>
      </c>
      <c r="D157">
        <v>2</v>
      </c>
      <c r="E157" t="s">
        <v>18</v>
      </c>
      <c r="F157">
        <v>96</v>
      </c>
      <c r="G157">
        <v>94</v>
      </c>
      <c r="H157">
        <v>97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E4DB3-2DA7-4A94-BE35-C13BA91527AC}">
  <sheetPr codeName="Sheet3"/>
  <dimension ref="A1:AB67"/>
  <sheetViews>
    <sheetView topLeftCell="A34" zoomScaleNormal="100" workbookViewId="0">
      <selection activeCell="N13" sqref="N13"/>
    </sheetView>
  </sheetViews>
  <sheetFormatPr defaultRowHeight="15" x14ac:dyDescent="0.25"/>
  <cols>
    <col min="1" max="1" width="19.28515625" customWidth="1"/>
    <col min="2" max="2" width="25.7109375" customWidth="1"/>
    <col min="3" max="3" width="7.85546875" hidden="1" customWidth="1"/>
    <col min="4" max="9" width="14.140625" customWidth="1"/>
    <col min="11" max="17" width="20" customWidth="1"/>
    <col min="18" max="18" width="20.28515625" bestFit="1" customWidth="1"/>
    <col min="19" max="19" width="11.85546875" bestFit="1" customWidth="1"/>
    <col min="20" max="20" width="22" bestFit="1" customWidth="1"/>
    <col min="21" max="22" width="12.140625" customWidth="1"/>
    <col min="23" max="24" width="22" bestFit="1" customWidth="1"/>
    <col min="25" max="25" width="20.28515625" bestFit="1" customWidth="1"/>
    <col min="26" max="26" width="22" bestFit="1" customWidth="1"/>
    <col min="27" max="27" width="20.28515625" bestFit="1" customWidth="1"/>
    <col min="28" max="43" width="22" bestFit="1" customWidth="1"/>
    <col min="44" max="45" width="20.28515625" bestFit="1" customWidth="1"/>
    <col min="46" max="68" width="22" bestFit="1" customWidth="1"/>
    <col min="69" max="69" width="20.28515625" bestFit="1" customWidth="1"/>
    <col min="70" max="70" width="22" bestFit="1" customWidth="1"/>
    <col min="71" max="71" width="13.5703125" bestFit="1" customWidth="1"/>
    <col min="72" max="72" width="14.7109375" bestFit="1" customWidth="1"/>
    <col min="73" max="74" width="13.5703125" bestFit="1" customWidth="1"/>
  </cols>
  <sheetData>
    <row r="1" spans="1:28" ht="21" customHeight="1" x14ac:dyDescent="0.25">
      <c r="A1" s="15" t="s">
        <v>541</v>
      </c>
      <c r="B1" s="15" t="s">
        <v>542</v>
      </c>
      <c r="S1" s="50" t="s">
        <v>543</v>
      </c>
      <c r="T1" s="50"/>
      <c r="U1" s="48" t="s">
        <v>544</v>
      </c>
      <c r="V1" s="48"/>
      <c r="W1" s="48" t="s">
        <v>545</v>
      </c>
      <c r="X1" s="48"/>
      <c r="Y1" s="48" t="s">
        <v>546</v>
      </c>
      <c r="Z1" s="48"/>
      <c r="AA1" s="48" t="s">
        <v>547</v>
      </c>
      <c r="AB1" s="48"/>
    </row>
    <row r="2" spans="1:28" x14ac:dyDescent="0.25">
      <c r="A2" s="53" t="s">
        <v>10</v>
      </c>
      <c r="B2" s="53">
        <v>1</v>
      </c>
      <c r="C2" s="54" t="s">
        <v>548</v>
      </c>
      <c r="D2" s="52" t="s">
        <v>549</v>
      </c>
      <c r="E2" s="52" t="s">
        <v>550</v>
      </c>
      <c r="F2" s="52"/>
      <c r="G2" s="52" t="s">
        <v>551</v>
      </c>
      <c r="H2" s="52" t="s">
        <v>550</v>
      </c>
      <c r="I2" s="52"/>
      <c r="K2" s="15" t="s">
        <v>552</v>
      </c>
      <c r="L2" s="15" t="s">
        <v>553</v>
      </c>
      <c r="M2" s="15" t="s">
        <v>554</v>
      </c>
      <c r="N2" s="15" t="s">
        <v>555</v>
      </c>
      <c r="S2" s="48" t="s">
        <v>556</v>
      </c>
      <c r="T2" s="48"/>
      <c r="U2" s="26" t="s">
        <v>557</v>
      </c>
      <c r="V2" s="26" t="s">
        <v>558</v>
      </c>
      <c r="W2" s="26" t="s">
        <v>557</v>
      </c>
      <c r="X2" s="26" t="s">
        <v>558</v>
      </c>
      <c r="Y2" s="26" t="s">
        <v>557</v>
      </c>
      <c r="Z2" s="26" t="s">
        <v>558</v>
      </c>
      <c r="AA2" s="26" t="s">
        <v>557</v>
      </c>
      <c r="AB2" s="26" t="s">
        <v>558</v>
      </c>
    </row>
    <row r="3" spans="1:28" x14ac:dyDescent="0.25">
      <c r="A3" s="53"/>
      <c r="B3" s="53"/>
      <c r="C3" s="54"/>
      <c r="D3" s="52"/>
      <c r="E3" s="13" t="s">
        <v>557</v>
      </c>
      <c r="F3" s="13" t="s">
        <v>558</v>
      </c>
      <c r="G3" s="52"/>
      <c r="H3" s="13" t="s">
        <v>557</v>
      </c>
      <c r="I3" s="13" t="s">
        <v>558</v>
      </c>
      <c r="K3" s="15"/>
      <c r="L3" s="27" cm="1">
        <f t="array" ref="L3">INDEX(DropDowns!G2:G10, MATCH(A2&amp;B2, DropDowns!E2:E10&amp;DropDowns!F2:F10, 0))</f>
        <v>795.58</v>
      </c>
      <c r="M3" s="28" cm="1">
        <f t="array" ref="M3">INDEX(DropDowns!H2:H10, MATCH(A2&amp;B2, DropDowns!E2:E10&amp;DropDowns!F2:F10, 0))</f>
        <v>51979.92</v>
      </c>
      <c r="N3" s="29" cm="1">
        <f t="array" ref="N3">INDEX(DropDowns!I2:I10, MATCH(A2&amp;B2, DropDowns!E2:E10&amp;DropDowns!F2:F10, 0))</f>
        <v>5.27</v>
      </c>
      <c r="O3" s="51" t="s">
        <v>559</v>
      </c>
      <c r="P3" s="51" t="s">
        <v>560</v>
      </c>
      <c r="Q3" s="51" t="s">
        <v>561</v>
      </c>
      <c r="R3" s="21"/>
      <c r="S3" s="26">
        <v>0</v>
      </c>
      <c r="T3" s="26">
        <f t="shared" ref="T3:T34" si="0">$L$3+($M$3/($S3+$N$3))</f>
        <v>10658.942428842505</v>
      </c>
      <c r="U3" s="26" cm="1">
        <f t="array" ref="U3">_xlfn.IFS($B$2=1, W3, $B$2=4, Y3, $B$2=8, AA3)</f>
        <v>681.94242884250525</v>
      </c>
      <c r="V3" s="26" cm="1">
        <f t="array" ref="V3">_xlfn.IFS($B$2=1, X3, $B$2=4, Z3, $B$2=8, AB3)</f>
        <v>657.05757115749475</v>
      </c>
      <c r="W3" s="26">
        <f>$T$3-($D$4-$E$4)</f>
        <v>681.94242884250525</v>
      </c>
      <c r="X3" s="26">
        <f>($D$4+$F$4)-$T$3</f>
        <v>657.05757115749475</v>
      </c>
      <c r="Y3" s="26">
        <f>$T$3-($D$4-$E$4)</f>
        <v>681.94242884250525</v>
      </c>
      <c r="Z3" s="26">
        <f>($D$4+$F$4)-$T$3</f>
        <v>657.05757115749475</v>
      </c>
      <c r="AA3" s="26">
        <f>$T$3-($D$4-$E$4)</f>
        <v>681.94242884250525</v>
      </c>
      <c r="AB3" s="26">
        <f>($D$4+$F$4)-$T$3</f>
        <v>657.05757115749475</v>
      </c>
    </row>
    <row r="4" spans="1:28" ht="30.75" customHeight="1" x14ac:dyDescent="0.25">
      <c r="B4" s="14" t="s">
        <v>562</v>
      </c>
      <c r="C4" s="16">
        <v>0</v>
      </c>
      <c r="D4" s="11">
        <f>AVERAGEIFS(CoreParsedData[UBAVisualizer (Session) Time], CoreParsedData[Agents], $C$4, CoreParsedData[Cores/Agent], C4, CoreParsedData[Target], $A$2)</f>
        <v>10630.75</v>
      </c>
      <c r="E4" s="11">
        <f>D4-_xlfn.MINIFS(CoreParsedData[UBAVisualizer (Session) Time], CoreParsedData[Agents], 0, CoreParsedData[Cores/Agent], C4, CoreParsedData[Target], $A$2)</f>
        <v>653.75</v>
      </c>
      <c r="F4" s="11">
        <f>_xlfn.MAXIFS(CoreParsedData[UBAVisualizer (Session) Time], CoreParsedData[Agents], 0, CoreParsedData[Cores/Agent], C4, CoreParsedData[Target], $A$2)-D4</f>
        <v>685.25</v>
      </c>
      <c r="G4" s="23">
        <v>1</v>
      </c>
      <c r="H4" s="23">
        <v>0</v>
      </c>
      <c r="I4" s="23">
        <v>0</v>
      </c>
      <c r="K4" s="25" t="s">
        <v>563</v>
      </c>
      <c r="L4" s="25" t="s">
        <v>564</v>
      </c>
      <c r="M4" s="25" t="s">
        <v>565</v>
      </c>
      <c r="N4" s="25" t="s">
        <v>566</v>
      </c>
      <c r="O4" s="51"/>
      <c r="P4" s="51"/>
      <c r="Q4" s="51"/>
      <c r="R4" s="21"/>
      <c r="S4" s="26">
        <v>2</v>
      </c>
      <c r="T4" s="26">
        <f t="shared" si="0"/>
        <v>7945.5002200825311</v>
      </c>
      <c r="U4" s="26" cm="1">
        <f t="array" ref="U4">_xlfn.IFS($B$2=1, W4, $B$2=4, Y4, $B$2=8, AA4)</f>
        <v>0</v>
      </c>
      <c r="V4" s="26" cm="1">
        <f t="array" ref="V4">_xlfn.IFS($B$2=1, X4, $B$2=4, Z4, $B$2=8, AB4)</f>
        <v>0</v>
      </c>
      <c r="W4" s="26"/>
      <c r="X4" s="26"/>
      <c r="Y4" s="26"/>
      <c r="Z4" s="26"/>
      <c r="AA4" s="26"/>
      <c r="AB4" s="26"/>
    </row>
    <row r="5" spans="1:28" ht="18.75" customHeight="1" x14ac:dyDescent="0.25">
      <c r="B5" s="15" t="s">
        <v>567</v>
      </c>
      <c r="C5" s="12">
        <v>4</v>
      </c>
      <c r="D5" s="12">
        <f>AVERAGEIFS(CoreParsedData[UBAVisualizer (Session) Time], CoreParsedData[Agents], $B$2, CoreParsedData[Cores/Agent], C5, CoreParsedData[Target], $A$2)</f>
        <v>6522</v>
      </c>
      <c r="E5" s="12">
        <f>D5-_xlfn.MINIFS(CoreParsedData[UBAVisualizer (Session) Time], CoreParsedData[Agents], $B$2, CoreParsedData[Cores/Agent], C5, CoreParsedData[Target], $A$2)</f>
        <v>337</v>
      </c>
      <c r="F5" s="12">
        <f>_xlfn.MAXIFS(CoreParsedData[UBAVisualizer (Session) Time], CoreParsedData[Agents], $B$2, CoreParsedData[Cores/Agent], C5, CoreParsedData[Target], $A$2)-D5</f>
        <v>316</v>
      </c>
      <c r="G5" s="24">
        <f t="shared" ref="G5:G9" si="1">$D$4/D5</f>
        <v>1.6299831340079731</v>
      </c>
      <c r="H5" s="24">
        <f t="shared" ref="H5:H9" si="2">($D$4/D5)-($D$4/(D5+F5))</f>
        <v>7.5325339331167029E-2</v>
      </c>
      <c r="I5" s="24">
        <f t="shared" ref="I5:I9" si="3">($D$4/(D5-E5))-($D$4/D5)</f>
        <v>8.8812338910377653E-2</v>
      </c>
      <c r="K5" s="30">
        <v>0</v>
      </c>
      <c r="L5" s="30">
        <f t="shared" ref="L5:L7" si="4">D4</f>
        <v>10630.75</v>
      </c>
      <c r="M5" s="29">
        <f t="shared" ref="M5:M6" si="5">$L$3+($M$3/(1*$K5+$N$3))</f>
        <v>10658.942428842505</v>
      </c>
      <c r="N5" s="28">
        <f>_xlfn.IFNA((M5-L5)^2, 0)</f>
        <v>794.81304403972194</v>
      </c>
      <c r="O5" s="30">
        <f t="shared" ref="O5:O7" si="6">_xlfn.IFNA(D4-E4, 0)</f>
        <v>9977</v>
      </c>
      <c r="P5" s="30">
        <f t="shared" ref="P5:P7" si="7">_xlfn.IFNA(D4+F4, 999999)</f>
        <v>11316</v>
      </c>
      <c r="Q5" s="30">
        <f>IF(AND(NOT(ISNA(L5)), M5 &lt; O5), (O5 - L5)^2*1000000, 0)</f>
        <v>0</v>
      </c>
      <c r="S5" s="26">
        <v>4</v>
      </c>
      <c r="T5" s="26">
        <f t="shared" si="0"/>
        <v>6402.9068608414236</v>
      </c>
      <c r="U5" s="26" cm="1">
        <f t="array" ref="U5">_xlfn.IFS($B$2=1, W5, $B$2=4, Y5, $B$2=8, AA5)</f>
        <v>217.90686084142362</v>
      </c>
      <c r="V5" s="26" cm="1">
        <f t="array" ref="V5">_xlfn.IFS($B$2=1, X5, $B$2=4, Z5, $B$2=8, AB5)</f>
        <v>435.09313915857638</v>
      </c>
      <c r="W5" s="26">
        <f>$T$5-($D$5-$E$5)</f>
        <v>217.90686084142362</v>
      </c>
      <c r="X5" s="26">
        <f>($D$5+$F$5)-$T$5</f>
        <v>435.09313915857638</v>
      </c>
    </row>
    <row r="6" spans="1:28" ht="18.75" customHeight="1" x14ac:dyDescent="0.25">
      <c r="B6" s="15" t="s">
        <v>568</v>
      </c>
      <c r="C6" s="11">
        <v>8</v>
      </c>
      <c r="D6" s="11">
        <f>AVERAGEIFS(CoreParsedData[UBAVisualizer (Session) Time], CoreParsedData[Agents], $B$2, CoreParsedData[Cores/Agent], C6, CoreParsedData[Target], $A$2)</f>
        <v>4758</v>
      </c>
      <c r="E6" s="11">
        <f>D6-_xlfn.MINIFS(CoreParsedData[UBAVisualizer (Session) Time], CoreParsedData[Agents], $B$2, CoreParsedData[Cores/Agent], C6, CoreParsedData[Target], $A$2)</f>
        <v>208</v>
      </c>
      <c r="F6" s="11">
        <f>_xlfn.MAXIFS(CoreParsedData[UBAVisualizer (Session) Time], CoreParsedData[Agents], $B$2, CoreParsedData[Cores/Agent], C6, CoreParsedData[Target], $A$2)-D6</f>
        <v>275</v>
      </c>
      <c r="G6" s="23">
        <f t="shared" si="1"/>
        <v>2.2342896174863389</v>
      </c>
      <c r="H6" s="23">
        <f t="shared" si="2"/>
        <v>0.12208019964409766</v>
      </c>
      <c r="I6" s="23">
        <f t="shared" si="3"/>
        <v>0.10213895394223238</v>
      </c>
      <c r="K6" s="31">
        <v>4</v>
      </c>
      <c r="L6" s="31">
        <f t="shared" si="4"/>
        <v>6522</v>
      </c>
      <c r="M6" s="45">
        <f t="shared" si="5"/>
        <v>6402.9068608414236</v>
      </c>
      <c r="N6" s="46">
        <f t="shared" ref="N6:N10" si="8">_xlfn.IFNA((M6-L6)^2, 0)</f>
        <v>14183.175794644038</v>
      </c>
      <c r="O6" s="31">
        <f t="shared" si="6"/>
        <v>6185</v>
      </c>
      <c r="P6" s="31">
        <f t="shared" si="7"/>
        <v>6838</v>
      </c>
      <c r="Q6" s="31">
        <f t="shared" ref="Q6:Q10" si="9">IF(AND(NOT(ISNA(L6)), M6 &lt; O6), (O6 - L6)^2*1000000, 0)</f>
        <v>0</v>
      </c>
      <c r="S6" s="26">
        <v>6</v>
      </c>
      <c r="T6" s="26">
        <f t="shared" si="0"/>
        <v>5407.8177994676134</v>
      </c>
      <c r="U6" s="26" cm="1">
        <f t="array" ref="U6">_xlfn.IFS($B$2=1, W6, $B$2=4, Y6, $B$2=8, AA6)</f>
        <v>0</v>
      </c>
      <c r="V6" s="26" cm="1">
        <f t="array" ref="V6">_xlfn.IFS($B$2=1, X6, $B$2=4, Z6, $B$2=8, AB6)</f>
        <v>0</v>
      </c>
      <c r="W6" s="26"/>
      <c r="X6" s="26"/>
      <c r="Y6" s="26"/>
      <c r="Z6" s="26"/>
      <c r="AA6" s="26"/>
      <c r="AB6" s="26"/>
    </row>
    <row r="7" spans="1:28" ht="18.75" customHeight="1" x14ac:dyDescent="0.25">
      <c r="B7" s="15" t="s">
        <v>569</v>
      </c>
      <c r="C7" s="12">
        <v>12</v>
      </c>
      <c r="D7" s="12" t="e">
        <f>IFERROR(AVERAGEIFS(CoreParsedData[UBAVisualizer (Session) Time], CoreParsedData[Agents], $B$2, CoreParsedData[Cores/Agent], C7, CoreParsedData[Target], $A$2), NA())</f>
        <v>#N/A</v>
      </c>
      <c r="E7" s="12" t="e">
        <f>D7-_xlfn.MINIFS(CoreParsedData[UBAVisualizer (Session) Time], CoreParsedData[Agents], $B$2, CoreParsedData[Cores/Agent], C7, CoreParsedData[Target], $A$2)</f>
        <v>#N/A</v>
      </c>
      <c r="F7" s="12" t="e">
        <f>_xlfn.MAXIFS(CoreParsedData[UBAVisualizer (Session) Time], CoreParsedData[Agents], $B$2, CoreParsedData[Cores/Agent], C7, CoreParsedData[Target], $A$2)-D7</f>
        <v>#N/A</v>
      </c>
      <c r="G7" s="24" t="e">
        <f t="shared" si="1"/>
        <v>#N/A</v>
      </c>
      <c r="H7" s="24" t="e">
        <f t="shared" si="2"/>
        <v>#N/A</v>
      </c>
      <c r="I7" s="24" t="e">
        <f t="shared" si="3"/>
        <v>#N/A</v>
      </c>
      <c r="K7" s="30">
        <v>8</v>
      </c>
      <c r="L7" s="30">
        <f t="shared" si="4"/>
        <v>4758</v>
      </c>
      <c r="M7" s="29">
        <f>$L$3+($M$3/(1*$K7+$N$3))</f>
        <v>4712.6802260738514</v>
      </c>
      <c r="N7" s="28">
        <f t="shared" si="8"/>
        <v>2053.881908717221</v>
      </c>
      <c r="O7" s="30">
        <f t="shared" si="6"/>
        <v>4550</v>
      </c>
      <c r="P7" s="30">
        <f t="shared" si="7"/>
        <v>5033</v>
      </c>
      <c r="Q7" s="30">
        <f t="shared" si="9"/>
        <v>0</v>
      </c>
      <c r="S7" s="26">
        <v>8</v>
      </c>
      <c r="T7" s="26">
        <f t="shared" si="0"/>
        <v>4712.6802260738514</v>
      </c>
      <c r="U7" s="26" cm="1">
        <f t="array" ref="U7">_xlfn.IFS($B$2=1, W7, $B$2=4, Y7, $B$2=8, AA7)</f>
        <v>162.68022607385137</v>
      </c>
      <c r="V7" s="26" cm="1">
        <f t="array" ref="V7">_xlfn.IFS($B$2=1, X7, $B$2=4, Z7, $B$2=8, AB7)</f>
        <v>320.31977392614863</v>
      </c>
      <c r="W7" s="26">
        <f>$T$7-($D$6-$E$6)</f>
        <v>162.68022607385137</v>
      </c>
      <c r="X7" s="26">
        <f>($D$6+$F$6)-$T$7</f>
        <v>320.31977392614863</v>
      </c>
    </row>
    <row r="8" spans="1:28" ht="18.75" customHeight="1" x14ac:dyDescent="0.25">
      <c r="B8" s="15" t="s">
        <v>570</v>
      </c>
      <c r="C8" s="11">
        <v>16</v>
      </c>
      <c r="D8" s="11">
        <f>IFERROR(AVERAGEIFS(CoreParsedData[UBAVisualizer (Session) Time], CoreParsedData[Agents], $B$2, CoreParsedData[Cores/Agent], C8, CoreParsedData[Target], $A$2), NA())</f>
        <v>3076.25</v>
      </c>
      <c r="E8" s="11">
        <f>D8-_xlfn.MINIFS(CoreParsedData[UBAVisualizer (Session) Time], CoreParsedData[Agents], $B$2, CoreParsedData[Cores/Agent], C8, CoreParsedData[Target], $A$2)</f>
        <v>58.25</v>
      </c>
      <c r="F8" s="11">
        <f>_xlfn.MAXIFS(CoreParsedData[UBAVisualizer (Session) Time], CoreParsedData[Agents], $B$2, CoreParsedData[Cores/Agent], C8, CoreParsedData[Target], $A$2)-D8</f>
        <v>56.75</v>
      </c>
      <c r="G8" s="23">
        <f t="shared" si="1"/>
        <v>3.4557496952458351</v>
      </c>
      <c r="H8" s="23">
        <f t="shared" si="2"/>
        <v>6.2596168274880792E-2</v>
      </c>
      <c r="I8" s="23">
        <f t="shared" si="3"/>
        <v>6.6698946238591628E-2</v>
      </c>
      <c r="K8" s="31">
        <v>12</v>
      </c>
      <c r="L8" s="31" t="e">
        <f>D7</f>
        <v>#N/A</v>
      </c>
      <c r="M8" s="45">
        <f t="shared" ref="M8:M10" si="10">$L$3+($M$3/(1*$K8+$N$3))</f>
        <v>3805.4190272148235</v>
      </c>
      <c r="N8" s="46">
        <f t="shared" si="8"/>
        <v>0</v>
      </c>
      <c r="O8" s="31">
        <f>_xlfn.IFNA(D7-E7, 0)</f>
        <v>0</v>
      </c>
      <c r="P8" s="31">
        <f>_xlfn.IFNA(D7+F7, 999999)</f>
        <v>999999</v>
      </c>
      <c r="Q8" s="31">
        <f t="shared" si="9"/>
        <v>0</v>
      </c>
      <c r="S8" s="26">
        <v>10</v>
      </c>
      <c r="T8" s="26">
        <f t="shared" si="0"/>
        <v>4199.6350098231833</v>
      </c>
      <c r="U8" s="26" cm="1">
        <f t="array" ref="U8">_xlfn.IFS($B$2=1, W8, $B$2=4, Y8, $B$2=8, AA8)</f>
        <v>0</v>
      </c>
      <c r="V8" s="26" cm="1">
        <f t="array" ref="V8">_xlfn.IFS($B$2=1, X8, $B$2=4, Z8, $B$2=8, AB8)</f>
        <v>0</v>
      </c>
      <c r="W8" s="26"/>
      <c r="X8" s="26"/>
      <c r="Y8" s="26"/>
      <c r="Z8" s="26"/>
      <c r="AA8" s="26"/>
      <c r="AB8" s="26"/>
    </row>
    <row r="9" spans="1:28" ht="18.75" customHeight="1" x14ac:dyDescent="0.25">
      <c r="B9" s="15" t="s">
        <v>571</v>
      </c>
      <c r="C9" s="12">
        <v>24</v>
      </c>
      <c r="D9" s="12" t="e">
        <f>IFERROR(AVERAGEIFS(CoreParsedData[UBAVisualizer (Session) Time], CoreParsedData[Agents], $B$2, CoreParsedData[Cores/Agent], C9, CoreParsedData[Target], $A$2), NA())</f>
        <v>#N/A</v>
      </c>
      <c r="E9" s="12" t="e">
        <f>D9-_xlfn.MINIFS(CoreParsedData[UBAVisualizer (Session) Time], CoreParsedData[Agents], $B$2, CoreParsedData[Cores/Agent], C9, CoreParsedData[Target], $A$2)</f>
        <v>#N/A</v>
      </c>
      <c r="F9" s="12" t="e">
        <f>_xlfn.MAXIFS(CoreParsedData[UBAVisualizer (Session) Time], CoreParsedData[Agents], $B$2, CoreParsedData[Cores/Agent], C9, CoreParsedData[Target], $A$2)-D9</f>
        <v>#N/A</v>
      </c>
      <c r="G9" s="24" t="e">
        <f t="shared" si="1"/>
        <v>#N/A</v>
      </c>
      <c r="H9" s="24" t="e">
        <f t="shared" si="2"/>
        <v>#N/A</v>
      </c>
      <c r="I9" s="24" t="e">
        <f t="shared" si="3"/>
        <v>#N/A</v>
      </c>
      <c r="K9" s="30">
        <v>16</v>
      </c>
      <c r="L9" s="30">
        <f t="shared" ref="L9" si="11">D8</f>
        <v>3076.25</v>
      </c>
      <c r="M9" s="29">
        <f t="shared" si="10"/>
        <v>3239.3938222849083</v>
      </c>
      <c r="N9" s="28">
        <f t="shared" si="8"/>
        <v>26615.906749729744</v>
      </c>
      <c r="O9" s="30">
        <f t="shared" ref="O9:O10" si="12">_xlfn.IFNA(D8-E8, 0)</f>
        <v>3018</v>
      </c>
      <c r="P9" s="30">
        <f t="shared" ref="P9:P10" si="13">_xlfn.IFNA(D8+F8, 999999)</f>
        <v>3133</v>
      </c>
      <c r="Q9" s="30">
        <f t="shared" si="9"/>
        <v>0</v>
      </c>
      <c r="S9" s="26">
        <v>12</v>
      </c>
      <c r="T9" s="26">
        <f t="shared" si="0"/>
        <v>3805.4190272148235</v>
      </c>
      <c r="U9" s="26" t="e" cm="1">
        <f t="array" ref="U9">_xlfn.IFS($B$2=1, W9, $B$2=4, Y9, $B$2=8, AA9)</f>
        <v>#N/A</v>
      </c>
      <c r="V9" s="26" t="e" cm="1">
        <f t="array" ref="V9">_xlfn.IFS($B$2=1, X9, $B$2=4, Z9, $B$2=8, AB9)</f>
        <v>#N/A</v>
      </c>
      <c r="W9" s="26" t="e">
        <f>$T$9-($D$7-$E$7)</f>
        <v>#N/A</v>
      </c>
      <c r="X9" s="26" t="e">
        <f>($D$7+$F$7)-$T$9</f>
        <v>#N/A</v>
      </c>
    </row>
    <row r="10" spans="1:28" ht="18.75" customHeight="1" x14ac:dyDescent="0.25">
      <c r="B10" s="15" t="s">
        <v>572</v>
      </c>
      <c r="C10" s="11">
        <v>32</v>
      </c>
      <c r="D10" s="11">
        <f>IFERROR(AVERAGEIFS(CoreParsedData[UBAVisualizer (Session) Time], CoreParsedData[Agents], $B$2, CoreParsedData[Cores/Agent], C10, CoreParsedData[Target], $A$2), NA())</f>
        <v>1965.75</v>
      </c>
      <c r="E10" s="11">
        <f>D10-_xlfn.MINIFS(CoreParsedData[UBAVisualizer (Session) Time], CoreParsedData[Agents], $B$2, CoreParsedData[Cores/Agent], C10, CoreParsedData[Target], $A$2)</f>
        <v>178.75</v>
      </c>
      <c r="F10" s="11">
        <f>_xlfn.MAXIFS(CoreParsedData[UBAVisualizer (Session) Time], CoreParsedData[Agents], $B$2, CoreParsedData[Cores/Agent], C10, CoreParsedData[Target], $A$2)-D10</f>
        <v>181.25</v>
      </c>
      <c r="G10" s="23">
        <f>$D$4/D10</f>
        <v>5.4079867734961207</v>
      </c>
      <c r="H10" s="23">
        <f>($D$4/D10)-($D$4/(D10+F10))</f>
        <v>0.45654289832145878</v>
      </c>
      <c r="I10" s="23">
        <f>($D$4/(D10-E10))-($D$4/D10)</f>
        <v>0.540949992032699</v>
      </c>
      <c r="K10" s="31">
        <v>24</v>
      </c>
      <c r="L10" s="31" t="e">
        <f>D9</f>
        <v>#N/A</v>
      </c>
      <c r="M10" s="45">
        <f t="shared" si="10"/>
        <v>2571.4570071745816</v>
      </c>
      <c r="N10" s="46">
        <f t="shared" si="8"/>
        <v>0</v>
      </c>
      <c r="O10" s="31">
        <f t="shared" si="12"/>
        <v>0</v>
      </c>
      <c r="P10" s="31">
        <f t="shared" si="13"/>
        <v>999999</v>
      </c>
      <c r="Q10" s="31">
        <f t="shared" si="9"/>
        <v>0</v>
      </c>
      <c r="S10" s="26">
        <v>14</v>
      </c>
      <c r="T10" s="26">
        <f t="shared" si="0"/>
        <v>3493.0330358069536</v>
      </c>
      <c r="U10" s="26" cm="1">
        <f t="array" ref="U10">_xlfn.IFS($B$2=1, W10, $B$2=4, Y10, $B$2=8, AA10)</f>
        <v>0</v>
      </c>
      <c r="V10" s="26" cm="1">
        <f t="array" ref="V10">_xlfn.IFS($B$2=1, X10, $B$2=4, Z10, $B$2=8, AB10)</f>
        <v>0</v>
      </c>
      <c r="W10" s="26"/>
      <c r="X10" s="26"/>
      <c r="Y10" s="26"/>
      <c r="Z10" s="26"/>
      <c r="AA10" s="26"/>
      <c r="AB10" s="26"/>
    </row>
    <row r="11" spans="1:28" x14ac:dyDescent="0.25">
      <c r="B11" s="15" t="s">
        <v>573</v>
      </c>
      <c r="C11" s="12">
        <v>64</v>
      </c>
      <c r="D11" s="12">
        <f>IFERROR(AVERAGEIFS(CoreParsedData[UBAVisualizer (Session) Time], CoreParsedData[Agents], $B$2, CoreParsedData[Cores/Agent], C11, CoreParsedData[Target], $A$2), NA())</f>
        <v>1594.75</v>
      </c>
      <c r="E11" s="12">
        <f>D11-_xlfn.MINIFS(CoreParsedData[UBAVisualizer (Session) Time], CoreParsedData[Agents], $B$2, CoreParsedData[Cores/Agent], C11, CoreParsedData[Target], $A$2)</f>
        <v>48.75</v>
      </c>
      <c r="F11" s="12">
        <f>_xlfn.MAXIFS(CoreParsedData[UBAVisualizer (Session) Time], CoreParsedData[Agents], $B$2, CoreParsedData[Cores/Agent], C11, CoreParsedData[Target], $A$2)-D11</f>
        <v>21.25</v>
      </c>
      <c r="G11" s="24">
        <f>$D$4/D11</f>
        <v>6.6660918639285152</v>
      </c>
      <c r="H11" s="24">
        <f>($D$4/D11)-($D$4/(D11+F11))</f>
        <v>8.7657457987921461E-2</v>
      </c>
      <c r="I11" s="24">
        <f>($D$4/(D11-E11))-($D$4/D11)</f>
        <v>0.21020179713228693</v>
      </c>
      <c r="K11" s="30">
        <v>32</v>
      </c>
      <c r="L11" s="30">
        <f>D10</f>
        <v>1965.75</v>
      </c>
      <c r="M11" s="29">
        <f>$L$3+($M$3/(1*$K11+$N$3))</f>
        <v>2190.2652696538771</v>
      </c>
      <c r="N11" s="28">
        <f>_xlfn.IFNA((M11-L11)^2, 0)</f>
        <v>50407.106307753151</v>
      </c>
      <c r="O11" s="30">
        <f>_xlfn.IFNA(D10-E10, 0)</f>
        <v>1787</v>
      </c>
      <c r="P11" s="30">
        <f>_xlfn.IFNA(D10+F10, 999999)</f>
        <v>2147</v>
      </c>
      <c r="Q11" s="30">
        <f>IF(AND(NOT(ISNA(L11)), M11 &lt; O11), (O11 - L11)^2*1000000, 0)</f>
        <v>0</v>
      </c>
      <c r="S11" s="26">
        <v>16</v>
      </c>
      <c r="T11" s="26">
        <f t="shared" si="0"/>
        <v>3239.3938222849083</v>
      </c>
      <c r="U11" s="26" cm="1">
        <f t="array" ref="U11">_xlfn.IFS($B$2=1, W11, $B$2=4, Y11, $B$2=8, AA11)</f>
        <v>221.39382228490831</v>
      </c>
      <c r="V11" s="26" cm="1">
        <f t="array" ref="V11">_xlfn.IFS($B$2=1, X11, $B$2=4, Z11, $B$2=8, AB11)</f>
        <v>-106.39382228490831</v>
      </c>
      <c r="W11" s="26">
        <f>$T$11-($D$8-$E$8)</f>
        <v>221.39382228490831</v>
      </c>
      <c r="X11" s="26">
        <f>($D$8+$F$8)-$T$11</f>
        <v>-106.39382228490831</v>
      </c>
      <c r="Y11" s="26">
        <f>$T$11-($D$5-$E$5)</f>
        <v>-2945.6061777150917</v>
      </c>
      <c r="Z11" s="26">
        <f>($D$5+$F$5)-$T$11</f>
        <v>3598.6061777150917</v>
      </c>
      <c r="AA11" s="26"/>
      <c r="AB11" s="26"/>
    </row>
    <row r="12" spans="1:28" x14ac:dyDescent="0.25">
      <c r="K12" s="31">
        <v>64</v>
      </c>
      <c r="L12" s="31">
        <f>D11</f>
        <v>1594.75</v>
      </c>
      <c r="M12" s="45">
        <f>$L$3+($M$3/(1*$K12+$N$3))</f>
        <v>1545.9758423559983</v>
      </c>
      <c r="N12" s="46">
        <f>_xlfn.IFNA((M12-L12)^2, 0)</f>
        <v>2378.9184538819259</v>
      </c>
      <c r="O12" s="31">
        <f>_xlfn.IFNA(D11-E11, 0)</f>
        <v>1546</v>
      </c>
      <c r="P12" s="31">
        <f>_xlfn.IFNA(D11+F11, 999999)</f>
        <v>1616</v>
      </c>
      <c r="Q12" s="31">
        <f>IF(AND(NOT(ISNA(L12)), M12 &lt; O12), (O12 - L12)^2*1000000, 0)</f>
        <v>2376562500</v>
      </c>
      <c r="S12" s="26">
        <v>18</v>
      </c>
      <c r="T12" s="26">
        <f t="shared" si="0"/>
        <v>3029.3539578856894</v>
      </c>
      <c r="U12" s="26" cm="1">
        <f t="array" ref="U12">_xlfn.IFS($B$2=1, W12, $B$2=4, Y12, $B$2=8, AA12)</f>
        <v>0</v>
      </c>
      <c r="V12" s="26" cm="1">
        <f t="array" ref="V12">_xlfn.IFS($B$2=1, X12, $B$2=4, Z12, $B$2=8, AB12)</f>
        <v>0</v>
      </c>
      <c r="W12" s="26"/>
      <c r="X12" s="26"/>
      <c r="Y12" s="26"/>
      <c r="Z12" s="26"/>
      <c r="AA12" s="26"/>
      <c r="AB12" s="26"/>
    </row>
    <row r="13" spans="1:28" x14ac:dyDescent="0.25">
      <c r="K13" s="13"/>
      <c r="L13" s="13"/>
      <c r="M13" s="32" t="s">
        <v>574</v>
      </c>
      <c r="N13" s="44">
        <f>SUM(N5:N12)</f>
        <v>96433.802258765791</v>
      </c>
      <c r="O13" s="49" t="s">
        <v>575</v>
      </c>
      <c r="P13" s="49"/>
      <c r="Q13" s="28">
        <f>N13 + SUM(Q5:Q12)</f>
        <v>2376658933.802259</v>
      </c>
      <c r="S13" s="26">
        <v>20</v>
      </c>
      <c r="T13" s="26">
        <f t="shared" si="0"/>
        <v>2852.5614008705975</v>
      </c>
      <c r="U13" s="26" cm="1">
        <f t="array" ref="U13">_xlfn.IFS($B$2=1, W13, $B$2=4, Y13, $B$2=8, AA13)</f>
        <v>0</v>
      </c>
      <c r="V13" s="26" cm="1">
        <f t="array" ref="V13">_xlfn.IFS($B$2=1, X13, $B$2=4, Z13, $B$2=8, AB13)</f>
        <v>0</v>
      </c>
      <c r="W13" s="26"/>
      <c r="X13" s="26"/>
      <c r="Y13" s="26"/>
      <c r="Z13" s="26"/>
      <c r="AA13" s="26"/>
      <c r="AB13" s="26"/>
    </row>
    <row r="14" spans="1:28" x14ac:dyDescent="0.25">
      <c r="K14" s="15"/>
      <c r="L14" s="15"/>
      <c r="M14" s="33" t="s">
        <v>576</v>
      </c>
      <c r="N14" s="43">
        <f>SQRT(N13/COUNT(L5:L12))</f>
        <v>126.77657660806655</v>
      </c>
      <c r="O14" s="15"/>
      <c r="P14" s="15"/>
      <c r="Q14" s="15"/>
      <c r="S14" s="26">
        <v>22</v>
      </c>
      <c r="T14" s="26">
        <f t="shared" si="0"/>
        <v>2701.7010121012099</v>
      </c>
      <c r="U14" s="26" cm="1">
        <f t="array" ref="U14">_xlfn.IFS($B$2=1, W14, $B$2=4, Y14, $B$2=8, AA14)</f>
        <v>0</v>
      </c>
      <c r="V14" s="26" cm="1">
        <f t="array" ref="V14">_xlfn.IFS($B$2=1, X14, $B$2=4, Z14, $B$2=8, AB14)</f>
        <v>0</v>
      </c>
      <c r="W14" s="26"/>
      <c r="X14" s="26"/>
      <c r="Y14" s="26"/>
      <c r="Z14" s="26"/>
      <c r="AA14" s="26"/>
      <c r="AB14" s="26"/>
    </row>
    <row r="15" spans="1:28" x14ac:dyDescent="0.25">
      <c r="K15" s="15"/>
      <c r="L15" s="15"/>
      <c r="M15" s="33" t="s">
        <v>577</v>
      </c>
      <c r="N15" s="42" cm="1">
        <f t="array" ref="N15">N14/AVERAGE(IF(ISNUMBER(D4:D11), D4:D11))</f>
        <v>2.6645396607352632E-2</v>
      </c>
      <c r="O15" s="15"/>
      <c r="P15" s="15"/>
      <c r="Q15" s="15"/>
      <c r="S15" s="26">
        <v>24</v>
      </c>
      <c r="T15" s="26">
        <f t="shared" si="0"/>
        <v>2571.4570071745816</v>
      </c>
      <c r="U15" s="26" t="e" cm="1">
        <f t="array" ref="U15">_xlfn.IFS($B$2=1, W15, $B$2=4, Y15, $B$2=8, AA15)</f>
        <v>#N/A</v>
      </c>
      <c r="V15" s="26" t="e" cm="1">
        <f t="array" ref="V15">_xlfn.IFS($B$2=1, X15, $B$2=4, Z15, $B$2=8, AB15)</f>
        <v>#N/A</v>
      </c>
      <c r="W15" s="26" t="e">
        <f>$T$15-($D$9-$E$9)</f>
        <v>#N/A</v>
      </c>
      <c r="X15" s="26" t="e">
        <f>($D$9+$F$9)-$T$15</f>
        <v>#N/A</v>
      </c>
      <c r="AA15" s="26"/>
      <c r="AB15" s="26"/>
    </row>
    <row r="16" spans="1:28" x14ac:dyDescent="0.25">
      <c r="K16" s="15"/>
      <c r="L16" s="15"/>
      <c r="M16" s="33" t="s">
        <v>578</v>
      </c>
      <c r="N16" s="41">
        <f>(M3/N3)/(L3+(M3/N3))</f>
        <v>0.92536032488108722</v>
      </c>
      <c r="O16" s="15"/>
      <c r="P16" s="15"/>
      <c r="Q16" s="15"/>
      <c r="S16" s="26">
        <v>26</v>
      </c>
      <c r="T16" s="26">
        <f t="shared" si="0"/>
        <v>2457.8735721138473</v>
      </c>
      <c r="U16" s="26" cm="1">
        <f t="array" ref="U16">_xlfn.IFS($B$2=1, W16, $B$2=4, Y16, $B$2=8, AA16)</f>
        <v>0</v>
      </c>
      <c r="V16" s="26" cm="1">
        <f t="array" ref="V16">_xlfn.IFS($B$2=1, X16, $B$2=4, Z16, $B$2=8, AB16)</f>
        <v>0</v>
      </c>
      <c r="W16" s="26"/>
      <c r="X16" s="26"/>
      <c r="Y16" s="26"/>
      <c r="Z16" s="26"/>
      <c r="AA16" s="26"/>
      <c r="AB16" s="26"/>
    </row>
    <row r="17" spans="11:28" x14ac:dyDescent="0.25">
      <c r="K17" s="15"/>
      <c r="L17" s="15"/>
      <c r="M17" s="33" t="s">
        <v>579</v>
      </c>
      <c r="N17" s="40">
        <f>D4/L3</f>
        <v>13.362264008647779</v>
      </c>
      <c r="O17" s="15"/>
      <c r="P17" s="15"/>
      <c r="Q17" s="15"/>
      <c r="S17" s="26">
        <v>28</v>
      </c>
      <c r="T17" s="26">
        <f t="shared" si="0"/>
        <v>2357.9460955816053</v>
      </c>
      <c r="U17" s="26" cm="1">
        <f t="array" ref="U17">_xlfn.IFS($B$2=1, W17, $B$2=4, Y17, $B$2=8, AA17)</f>
        <v>0</v>
      </c>
      <c r="V17" s="26" cm="1">
        <f t="array" ref="V17">_xlfn.IFS($B$2=1, X17, $B$2=4, Z17, $B$2=8, AB17)</f>
        <v>0</v>
      </c>
      <c r="W17" s="26"/>
      <c r="X17" s="26"/>
      <c r="Y17" s="26"/>
      <c r="Z17" s="26"/>
      <c r="AA17" s="26"/>
      <c r="AB17" s="26"/>
    </row>
    <row r="18" spans="11:28" x14ac:dyDescent="0.25">
      <c r="S18" s="26">
        <v>30</v>
      </c>
      <c r="T18" s="26">
        <f t="shared" si="0"/>
        <v>2269.3514771760706</v>
      </c>
      <c r="U18" s="26" cm="1">
        <f t="array" ref="U18">_xlfn.IFS($B$2=1, W18, $B$2=4, Y18, $B$2=8, AA18)</f>
        <v>0</v>
      </c>
      <c r="V18" s="26" cm="1">
        <f t="array" ref="V18">_xlfn.IFS($B$2=1, X18, $B$2=4, Z18, $B$2=8, AB18)</f>
        <v>0</v>
      </c>
      <c r="W18" s="26"/>
      <c r="X18" s="26"/>
      <c r="Y18" s="26"/>
      <c r="Z18" s="26"/>
      <c r="AA18" s="26"/>
      <c r="AB18" s="26"/>
    </row>
    <row r="19" spans="11:28" x14ac:dyDescent="0.25">
      <c r="S19" s="26">
        <v>32</v>
      </c>
      <c r="T19" s="26">
        <f t="shared" si="0"/>
        <v>2190.2652696538771</v>
      </c>
      <c r="U19" s="26" cm="1">
        <f t="array" ref="U19">_xlfn.IFS($B$2=1, W19, $B$2=4, Y19, $B$2=8, AA19)</f>
        <v>403.26526965387711</v>
      </c>
      <c r="V19" s="26" cm="1">
        <f t="array" ref="V19">_xlfn.IFS($B$2=1, X19, $B$2=4, Z19, $B$2=8, AB19)</f>
        <v>-43.265269653877112</v>
      </c>
      <c r="W19" s="26">
        <f>$T$19-($D$10-$E$10)</f>
        <v>403.26526965387711</v>
      </c>
      <c r="X19" s="47">
        <f>($D$10+$F$10)-$T$19</f>
        <v>-43.265269653877112</v>
      </c>
      <c r="Y19" s="26">
        <f>$T$19-($D$6-$E$6)</f>
        <v>-2359.7347303461229</v>
      </c>
      <c r="Z19" s="26">
        <f>($D$6+$F$6)-$T$19</f>
        <v>2842.7347303461229</v>
      </c>
      <c r="AA19" s="26">
        <f>$T$19-($D$5-$E$5)</f>
        <v>-3994.7347303461229</v>
      </c>
      <c r="AB19" s="26">
        <f>($D$5+$F$5)-$T$19</f>
        <v>4647.7347303461229</v>
      </c>
    </row>
    <row r="20" spans="11:28" x14ac:dyDescent="0.25">
      <c r="S20" s="26">
        <v>34</v>
      </c>
      <c r="T20" s="26">
        <f t="shared" si="0"/>
        <v>2119.2346982429335</v>
      </c>
      <c r="U20" s="26" cm="1">
        <f t="array" ref="U20">_xlfn.IFS($B$2=1, W20, $B$2=4, Y20, $B$2=8, AA20)</f>
        <v>0</v>
      </c>
      <c r="V20" s="26" cm="1">
        <f t="array" ref="V20">_xlfn.IFS($B$2=1, X20, $B$2=4, Z20, $B$2=8, AB20)</f>
        <v>0</v>
      </c>
      <c r="W20" s="26"/>
      <c r="X20" s="26"/>
      <c r="Y20" s="26"/>
      <c r="Z20" s="26"/>
      <c r="AA20" s="26"/>
      <c r="AB20" s="26"/>
    </row>
    <row r="21" spans="11:28" x14ac:dyDescent="0.25">
      <c r="S21" s="26">
        <v>36</v>
      </c>
      <c r="T21" s="26">
        <f t="shared" si="0"/>
        <v>2055.0886018899928</v>
      </c>
      <c r="U21" s="26" cm="1">
        <f t="array" ref="U21">_xlfn.IFS($B$2=1, W21, $B$2=4, Y21, $B$2=8, AA21)</f>
        <v>0</v>
      </c>
      <c r="V21" s="26" cm="1">
        <f t="array" ref="V21">_xlfn.IFS($B$2=1, X21, $B$2=4, Z21, $B$2=8, AB21)</f>
        <v>0</v>
      </c>
      <c r="W21" s="26"/>
      <c r="X21" s="26"/>
      <c r="Y21" s="26"/>
      <c r="Z21" s="26"/>
      <c r="AA21" s="26"/>
      <c r="AB21" s="26"/>
    </row>
    <row r="22" spans="11:28" x14ac:dyDescent="0.25">
      <c r="S22" s="26">
        <v>38</v>
      </c>
      <c r="T22" s="26">
        <f t="shared" si="0"/>
        <v>1996.872350358216</v>
      </c>
      <c r="U22" s="26" cm="1">
        <f t="array" ref="U22">_xlfn.IFS($B$2=1, W22, $B$2=4, Y22, $B$2=8, AA22)</f>
        <v>0</v>
      </c>
      <c r="V22" s="26" cm="1">
        <f t="array" ref="V22">_xlfn.IFS($B$2=1, X22, $B$2=4, Z22, $B$2=8, AB22)</f>
        <v>0</v>
      </c>
      <c r="W22" s="26"/>
      <c r="X22" s="26"/>
      <c r="Y22" s="26"/>
      <c r="Z22" s="26"/>
      <c r="AA22" s="26"/>
      <c r="AB22" s="26"/>
    </row>
    <row r="23" spans="11:28" x14ac:dyDescent="0.25">
      <c r="S23" s="26">
        <v>40</v>
      </c>
      <c r="T23" s="26">
        <f t="shared" si="0"/>
        <v>1943.8000132538104</v>
      </c>
      <c r="U23" s="26" cm="1">
        <f t="array" ref="U23">_xlfn.IFS($B$2=1, W23, $B$2=4, Y23, $B$2=8, AA23)</f>
        <v>0</v>
      </c>
      <c r="V23" s="26" cm="1">
        <f t="array" ref="V23">_xlfn.IFS($B$2=1, X23, $B$2=4, Z23, $B$2=8, AB23)</f>
        <v>0</v>
      </c>
      <c r="W23" s="26"/>
      <c r="X23" s="26"/>
      <c r="Y23" s="26"/>
      <c r="Z23" s="26"/>
      <c r="AA23" s="26"/>
      <c r="AB23" s="26"/>
    </row>
    <row r="24" spans="11:28" x14ac:dyDescent="0.25">
      <c r="S24" s="26">
        <v>42</v>
      </c>
      <c r="T24" s="26">
        <f t="shared" si="0"/>
        <v>1895.2186714618151</v>
      </c>
      <c r="U24" s="26" cm="1">
        <f t="array" ref="U24">_xlfn.IFS($B$2=1, W24, $B$2=4, Y24, $B$2=8, AA24)</f>
        <v>0</v>
      </c>
      <c r="V24" s="26" cm="1">
        <f t="array" ref="V24">_xlfn.IFS($B$2=1, X24, $B$2=4, Z24, $B$2=8, AB24)</f>
        <v>0</v>
      </c>
      <c r="W24" s="26"/>
      <c r="X24" s="26"/>
      <c r="Y24" s="26"/>
      <c r="Z24" s="26"/>
      <c r="AA24" s="26"/>
      <c r="AB24" s="26"/>
    </row>
    <row r="25" spans="11:28" x14ac:dyDescent="0.25">
      <c r="S25" s="26">
        <v>44</v>
      </c>
      <c r="T25" s="26">
        <f t="shared" si="0"/>
        <v>1850.5814207428457</v>
      </c>
      <c r="U25" s="26" cm="1">
        <f t="array" ref="U25">_xlfn.IFS($B$2=1, W25, $B$2=4, Y25, $B$2=8, AA25)</f>
        <v>0</v>
      </c>
      <c r="V25" s="26" cm="1">
        <f t="array" ref="V25">_xlfn.IFS($B$2=1, X25, $B$2=4, Z25, $B$2=8, AB25)</f>
        <v>0</v>
      </c>
      <c r="W25" s="26"/>
      <c r="X25" s="26"/>
      <c r="Y25" s="26"/>
      <c r="Z25" s="26"/>
      <c r="AA25" s="26"/>
      <c r="AB25" s="26"/>
    </row>
    <row r="26" spans="11:28" x14ac:dyDescent="0.25">
      <c r="S26" s="26">
        <v>46</v>
      </c>
      <c r="T26" s="26">
        <f t="shared" si="0"/>
        <v>1809.4266939730837</v>
      </c>
      <c r="U26" s="26" cm="1">
        <f t="array" ref="U26">_xlfn.IFS($B$2=1, W26, $B$2=4, Y26, $B$2=8, AA26)</f>
        <v>0</v>
      </c>
      <c r="V26" s="26" cm="1">
        <f t="array" ref="V26">_xlfn.IFS($B$2=1, X26, $B$2=4, Z26, $B$2=8, AB26)</f>
        <v>0</v>
      </c>
      <c r="W26" s="26"/>
      <c r="X26" s="26"/>
      <c r="Y26" s="26"/>
      <c r="Z26" s="26"/>
      <c r="AA26" s="26"/>
      <c r="AB26" s="26"/>
    </row>
    <row r="27" spans="11:28" x14ac:dyDescent="0.25">
      <c r="S27" s="26">
        <v>48</v>
      </c>
      <c r="T27" s="26">
        <f t="shared" si="0"/>
        <v>1771.3622414116765</v>
      </c>
      <c r="U27" s="26" cm="1">
        <f t="array" ref="U27">_xlfn.IFS($B$2=1, W27, $B$2=4, Y27, $B$2=8, AA27)</f>
        <v>0</v>
      </c>
      <c r="V27" s="26" cm="1">
        <f t="array" ref="V27">_xlfn.IFS($B$2=1, X27, $B$2=4, Z27, $B$2=8, AB27)</f>
        <v>0</v>
      </c>
      <c r="W27" s="26"/>
      <c r="X27" s="26"/>
      <c r="Y27" s="26" t="e">
        <f>$T$27-($D$7-$E$7)</f>
        <v>#N/A</v>
      </c>
      <c r="Z27" s="26" t="e">
        <f>($D$7+$F$7)-$T$27</f>
        <v>#N/A</v>
      </c>
      <c r="AA27" s="26"/>
      <c r="AB27" s="26"/>
    </row>
    <row r="28" spans="11:28" x14ac:dyDescent="0.25">
      <c r="S28" s="26">
        <v>50</v>
      </c>
      <c r="T28" s="26">
        <f t="shared" si="0"/>
        <v>1736.0525891080151</v>
      </c>
      <c r="U28" s="26" cm="1">
        <f t="array" ref="U28">_xlfn.IFS($B$2=1, W28, $B$2=4, Y28, $B$2=8, AA28)</f>
        <v>0</v>
      </c>
      <c r="V28" s="26" cm="1">
        <f t="array" ref="V28">_xlfn.IFS($B$2=1, X28, $B$2=4, Z28, $B$2=8, AB28)</f>
        <v>0</v>
      </c>
      <c r="W28" s="26"/>
      <c r="X28" s="26"/>
      <c r="Y28" s="26"/>
      <c r="Z28" s="26"/>
      <c r="AA28" s="26"/>
      <c r="AB28" s="26"/>
    </row>
    <row r="29" spans="11:28" x14ac:dyDescent="0.25">
      <c r="S29" s="26">
        <v>52</v>
      </c>
      <c r="T29" s="26">
        <f t="shared" si="0"/>
        <v>1703.209125196438</v>
      </c>
      <c r="U29" s="26" cm="1">
        <f t="array" ref="U29">_xlfn.IFS($B$2=1, W29, $B$2=4, Y29, $B$2=8, AA29)</f>
        <v>0</v>
      </c>
      <c r="V29" s="26" cm="1">
        <f t="array" ref="V29">_xlfn.IFS($B$2=1, X29, $B$2=4, Z29, $B$2=8, AB29)</f>
        <v>0</v>
      </c>
      <c r="W29" s="26"/>
      <c r="X29" s="26"/>
      <c r="Y29" s="26"/>
      <c r="Z29" s="26"/>
      <c r="AA29" s="26"/>
      <c r="AB29" s="26"/>
    </row>
    <row r="30" spans="11:28" x14ac:dyDescent="0.25">
      <c r="S30" s="26">
        <v>54</v>
      </c>
      <c r="T30" s="26">
        <f t="shared" si="0"/>
        <v>1672.5821933524549</v>
      </c>
      <c r="U30" s="26" cm="1">
        <f t="array" ref="U30">_xlfn.IFS($B$2=1, W30, $B$2=4, Y30, $B$2=8, AA30)</f>
        <v>0</v>
      </c>
      <c r="V30" s="26" cm="1">
        <f t="array" ref="V30">_xlfn.IFS($B$2=1, X30, $B$2=4, Z30, $B$2=8, AB30)</f>
        <v>0</v>
      </c>
      <c r="W30" s="26"/>
      <c r="X30" s="26"/>
      <c r="Y30" s="26"/>
      <c r="Z30" s="26"/>
      <c r="AA30" s="26"/>
      <c r="AB30" s="26"/>
    </row>
    <row r="31" spans="11:28" x14ac:dyDescent="0.25">
      <c r="S31" s="26">
        <v>56</v>
      </c>
      <c r="T31" s="26">
        <f t="shared" si="0"/>
        <v>1643.9547347804801</v>
      </c>
      <c r="U31" s="26" cm="1">
        <f t="array" ref="U31">_xlfn.IFS($B$2=1, W31, $B$2=4, Y31, $B$2=8, AA31)</f>
        <v>0</v>
      </c>
      <c r="V31" s="26" cm="1">
        <f t="array" ref="V31">_xlfn.IFS($B$2=1, X31, $B$2=4, Z31, $B$2=8, AB31)</f>
        <v>0</v>
      </c>
      <c r="W31" s="26"/>
      <c r="X31" s="26"/>
      <c r="Y31" s="26"/>
      <c r="Z31" s="26"/>
      <c r="AA31" s="26"/>
      <c r="AB31" s="26"/>
    </row>
    <row r="32" spans="11:28" x14ac:dyDescent="0.25">
      <c r="S32" s="26">
        <v>58</v>
      </c>
      <c r="T32" s="26">
        <f t="shared" si="0"/>
        <v>1617.1371360834519</v>
      </c>
      <c r="U32" s="26" cm="1">
        <f t="array" ref="U32">_xlfn.IFS($B$2=1, W32, $B$2=4, Y32, $B$2=8, AA32)</f>
        <v>0</v>
      </c>
      <c r="V32" s="26" cm="1">
        <f t="array" ref="V32">_xlfn.IFS($B$2=1, X32, $B$2=4, Z32, $B$2=8, AB32)</f>
        <v>0</v>
      </c>
      <c r="W32" s="26"/>
      <c r="X32" s="26"/>
      <c r="Y32" s="26"/>
      <c r="Z32" s="26"/>
      <c r="AA32" s="26"/>
      <c r="AB32" s="26"/>
    </row>
    <row r="33" spans="19:28" x14ac:dyDescent="0.25">
      <c r="S33" s="26">
        <v>60</v>
      </c>
      <c r="T33" s="26">
        <f t="shared" si="0"/>
        <v>1591.9630243603494</v>
      </c>
      <c r="U33" s="26" cm="1">
        <f t="array" ref="U33">_xlfn.IFS($B$2=1, W33, $B$2=4, Y33, $B$2=8, AA33)</f>
        <v>0</v>
      </c>
      <c r="V33" s="26" cm="1">
        <f t="array" ref="V33">_xlfn.IFS($B$2=1, X33, $B$2=4, Z33, $B$2=8, AB33)</f>
        <v>0</v>
      </c>
      <c r="W33" s="26"/>
      <c r="X33" s="26"/>
      <c r="Y33" s="26"/>
      <c r="Z33" s="26"/>
      <c r="AA33" s="26"/>
      <c r="AB33" s="26"/>
    </row>
    <row r="34" spans="19:28" x14ac:dyDescent="0.25">
      <c r="S34" s="26">
        <v>62</v>
      </c>
      <c r="T34" s="26">
        <f t="shared" si="0"/>
        <v>1568.2858123977999</v>
      </c>
      <c r="U34" s="26" cm="1">
        <f t="array" ref="U34">_xlfn.IFS($B$2=1, W34, $B$2=4, Y34, $B$2=8, AA34)</f>
        <v>0</v>
      </c>
      <c r="V34" s="26" cm="1">
        <f t="array" ref="V34">_xlfn.IFS($B$2=1, X34, $B$2=4, Z34, $B$2=8, AB34)</f>
        <v>0</v>
      </c>
      <c r="W34" s="26"/>
      <c r="X34" s="26"/>
      <c r="Y34" s="26"/>
      <c r="Z34" s="26"/>
      <c r="AA34" s="26"/>
      <c r="AB34" s="26"/>
    </row>
    <row r="35" spans="19:28" x14ac:dyDescent="0.25">
      <c r="S35" s="26">
        <v>64</v>
      </c>
      <c r="T35" s="26">
        <f t="shared" ref="T35:T67" si="14">$L$3+($M$3/($S35+$N$3))</f>
        <v>1545.9758423559983</v>
      </c>
      <c r="U35" s="26" cm="1">
        <f t="array" ref="U35">_xlfn.IFS($B$2=1, W35, $B$2=4, Y35, $B$2=8, AA35)</f>
        <v>-2.4157644001661538E-2</v>
      </c>
      <c r="V35" s="26" cm="1">
        <f t="array" ref="V35">_xlfn.IFS($B$2=1, X35, $B$2=4, Z35, $B$2=8, AB35)</f>
        <v>70.024157644001662</v>
      </c>
      <c r="W35" s="26">
        <f>$T$35-($D$11-$E$11)</f>
        <v>-2.4157644001661538E-2</v>
      </c>
      <c r="X35" s="47">
        <f>($D$11+$F$11)-$T$35</f>
        <v>70.024157644001662</v>
      </c>
      <c r="Y35" s="26">
        <f>$T$35-($D$8-$E$8)</f>
        <v>-1472.0241576440017</v>
      </c>
      <c r="Z35" s="26">
        <f>($D$8+$F$8)-$T$35</f>
        <v>1587.0241576440017</v>
      </c>
      <c r="AA35" s="26">
        <f>$T$35-($D$6-$E$6)</f>
        <v>-3004.0241576440017</v>
      </c>
      <c r="AB35" s="26">
        <f>($D$6+$F$6)-$T$35</f>
        <v>3487.0241576440017</v>
      </c>
    </row>
    <row r="36" spans="19:28" x14ac:dyDescent="0.25">
      <c r="S36" s="26">
        <v>66</v>
      </c>
      <c r="T36" s="26">
        <f t="shared" si="14"/>
        <v>1524.9180103830504</v>
      </c>
      <c r="U36" s="26" cm="1">
        <f t="array" ref="U36">_xlfn.IFS($B$2=1, W36, $B$2=4, Y36, $B$2=8, AA36)</f>
        <v>0</v>
      </c>
      <c r="V36" s="26" cm="1">
        <f t="array" ref="V36">_xlfn.IFS($B$2=1, X36, $B$2=4, Z36, $B$2=8, AB36)</f>
        <v>0</v>
      </c>
    </row>
    <row r="37" spans="19:28" x14ac:dyDescent="0.25">
      <c r="S37" s="26">
        <v>68</v>
      </c>
      <c r="T37" s="26">
        <f t="shared" si="14"/>
        <v>1505.0097802647742</v>
      </c>
      <c r="U37" s="26" cm="1">
        <f t="array" ref="U37">_xlfn.IFS($B$2=1, W37, $B$2=4, Y37, $B$2=8, AA37)</f>
        <v>0</v>
      </c>
      <c r="V37" s="26" cm="1">
        <f t="array" ref="V37">_xlfn.IFS($B$2=1, X37, $B$2=4, Z37, $B$2=8, AB37)</f>
        <v>0</v>
      </c>
    </row>
    <row r="38" spans="19:28" x14ac:dyDescent="0.25">
      <c r="S38" s="26">
        <v>70</v>
      </c>
      <c r="T38" s="26">
        <f t="shared" si="14"/>
        <v>1486.1595137504983</v>
      </c>
      <c r="U38" s="26" cm="1">
        <f t="array" ref="U38">_xlfn.IFS($B$2=1, W38, $B$2=4, Y38, $B$2=8, AA38)</f>
        <v>0</v>
      </c>
      <c r="V38" s="26" cm="1">
        <f t="array" ref="V38">_xlfn.IFS($B$2=1, X38, $B$2=4, Z38, $B$2=8, AB38)</f>
        <v>0</v>
      </c>
    </row>
    <row r="39" spans="19:28" x14ac:dyDescent="0.25">
      <c r="S39" s="26">
        <v>72</v>
      </c>
      <c r="T39" s="26">
        <f t="shared" si="14"/>
        <v>1468.2850601785944</v>
      </c>
      <c r="U39" s="26" cm="1">
        <f t="array" ref="U39">_xlfn.IFS($B$2=1, W39, $B$2=4, Y39, $B$2=8, AA39)</f>
        <v>0</v>
      </c>
      <c r="V39" s="26" cm="1">
        <f t="array" ref="V39">_xlfn.IFS($B$2=1, X39, $B$2=4, Z39, $B$2=8, AB39)</f>
        <v>0</v>
      </c>
    </row>
    <row r="40" spans="19:28" x14ac:dyDescent="0.25">
      <c r="S40" s="26">
        <v>74</v>
      </c>
      <c r="T40" s="26">
        <f t="shared" si="14"/>
        <v>1451.3125596064085</v>
      </c>
      <c r="U40" s="26" cm="1">
        <f t="array" ref="U40">_xlfn.IFS($B$2=1, W40, $B$2=4, Y40, $B$2=8, AA40)</f>
        <v>0</v>
      </c>
      <c r="V40" s="26" cm="1">
        <f t="array" ref="V40">_xlfn.IFS($B$2=1, X40, $B$2=4, Z40, $B$2=8, AB40)</f>
        <v>0</v>
      </c>
    </row>
    <row r="41" spans="19:28" x14ac:dyDescent="0.25">
      <c r="S41" s="26">
        <v>76</v>
      </c>
      <c r="T41" s="26">
        <f t="shared" si="14"/>
        <v>1435.1754226651901</v>
      </c>
      <c r="U41" s="26" cm="1">
        <f t="array" ref="U41">_xlfn.IFS($B$2=1, W41, $B$2=4, Y41, $B$2=8, AA41)</f>
        <v>0</v>
      </c>
      <c r="V41" s="26" cm="1">
        <f t="array" ref="V41">_xlfn.IFS($B$2=1, X41, $B$2=4, Z41, $B$2=8, AB41)</f>
        <v>0</v>
      </c>
    </row>
    <row r="42" spans="19:28" x14ac:dyDescent="0.25">
      <c r="S42" s="26">
        <v>78</v>
      </c>
      <c r="T42" s="26">
        <f t="shared" si="14"/>
        <v>1419.8134574276451</v>
      </c>
      <c r="U42" s="26" cm="1">
        <f t="array" ref="U42">_xlfn.IFS($B$2=1, W42, $B$2=4, Y42, $B$2=8, AA42)</f>
        <v>0</v>
      </c>
      <c r="V42" s="26" cm="1">
        <f t="array" ref="V42">_xlfn.IFS($B$2=1, X42, $B$2=4, Z42, $B$2=8, AB42)</f>
        <v>0</v>
      </c>
    </row>
    <row r="43" spans="19:28" x14ac:dyDescent="0.25">
      <c r="S43" s="26">
        <v>80</v>
      </c>
      <c r="T43" s="26">
        <f t="shared" si="14"/>
        <v>1405.1721191509323</v>
      </c>
      <c r="U43" s="26" cm="1">
        <f t="array" ref="U43">_xlfn.IFS($B$2=1, W43, $B$2=4, Y43, $B$2=8, AA43)</f>
        <v>0</v>
      </c>
      <c r="V43" s="26" cm="1">
        <f t="array" ref="V43">_xlfn.IFS($B$2=1, X43, $B$2=4, Z43, $B$2=8, AB43)</f>
        <v>0</v>
      </c>
    </row>
    <row r="44" spans="19:28" x14ac:dyDescent="0.25">
      <c r="S44" s="26">
        <v>82</v>
      </c>
      <c r="T44" s="26">
        <f t="shared" si="14"/>
        <v>1391.2018631832245</v>
      </c>
      <c r="U44" s="26" cm="1">
        <f t="array" ref="U44">_xlfn.IFS($B$2=1, W44, $B$2=4, Y44, $B$2=8, AA44)</f>
        <v>0</v>
      </c>
      <c r="V44" s="26" cm="1">
        <f t="array" ref="V44">_xlfn.IFS($B$2=1, X44, $B$2=4, Z44, $B$2=8, AB44)</f>
        <v>0</v>
      </c>
    </row>
    <row r="45" spans="19:28" x14ac:dyDescent="0.25">
      <c r="S45" s="26">
        <v>84</v>
      </c>
      <c r="T45" s="26">
        <f t="shared" si="14"/>
        <v>1377.8575848549344</v>
      </c>
      <c r="U45" s="26" cm="1">
        <f t="array" ref="U45">_xlfn.IFS($B$2=1, W45, $B$2=4, Y45, $B$2=8, AA45)</f>
        <v>0</v>
      </c>
      <c r="V45" s="26" cm="1">
        <f t="array" ref="V45">_xlfn.IFS($B$2=1, X45, $B$2=4, Z45, $B$2=8, AB45)</f>
        <v>0</v>
      </c>
    </row>
    <row r="46" spans="19:28" x14ac:dyDescent="0.25">
      <c r="S46" s="26">
        <v>86</v>
      </c>
      <c r="T46" s="26">
        <f t="shared" si="14"/>
        <v>1365.0981330119425</v>
      </c>
      <c r="U46" s="26" cm="1">
        <f t="array" ref="U46">_xlfn.IFS($B$2=1, W46, $B$2=4, Y46, $B$2=8, AA46)</f>
        <v>0</v>
      </c>
      <c r="V46" s="26" cm="1">
        <f t="array" ref="V46">_xlfn.IFS($B$2=1, X46, $B$2=4, Z46, $B$2=8, AB46)</f>
        <v>0</v>
      </c>
    </row>
    <row r="47" spans="19:28" x14ac:dyDescent="0.25">
      <c r="S47" s="26">
        <v>88</v>
      </c>
      <c r="T47" s="26">
        <f t="shared" si="14"/>
        <v>1352.8858861370215</v>
      </c>
      <c r="U47" s="26" cm="1">
        <f t="array" ref="U47">_xlfn.IFS($B$2=1, W47, $B$2=4, Y47, $B$2=8, AA47)</f>
        <v>0</v>
      </c>
      <c r="V47" s="26" cm="1">
        <f t="array" ref="V47">_xlfn.IFS($B$2=1, X47, $B$2=4, Z47, $B$2=8, AB47)</f>
        <v>0</v>
      </c>
    </row>
    <row r="48" spans="19:28" x14ac:dyDescent="0.25">
      <c r="S48" s="26">
        <v>90</v>
      </c>
      <c r="T48" s="26">
        <f t="shared" si="14"/>
        <v>1341.1863818620764</v>
      </c>
      <c r="U48" s="26" cm="1">
        <f t="array" ref="U48">_xlfn.IFS($B$2=1, W48, $B$2=4, Y48, $B$2=8, AA48)</f>
        <v>0</v>
      </c>
      <c r="V48" s="26" cm="1">
        <f t="array" ref="V48">_xlfn.IFS($B$2=1, X48, $B$2=4, Z48, $B$2=8, AB48)</f>
        <v>0</v>
      </c>
    </row>
    <row r="49" spans="19:28" x14ac:dyDescent="0.25">
      <c r="S49" s="26">
        <v>92</v>
      </c>
      <c r="T49" s="26">
        <f t="shared" si="14"/>
        <v>1329.9679921866968</v>
      </c>
      <c r="U49" s="26" cm="1">
        <f t="array" ref="U49">_xlfn.IFS($B$2=1, W49, $B$2=4, Y49, $B$2=8, AA49)</f>
        <v>0</v>
      </c>
      <c r="V49" s="26" cm="1">
        <f t="array" ref="V49">_xlfn.IFS($B$2=1, X49, $B$2=4, Z49, $B$2=8, AB49)</f>
        <v>0</v>
      </c>
    </row>
    <row r="50" spans="19:28" x14ac:dyDescent="0.25">
      <c r="S50" s="26">
        <v>94</v>
      </c>
      <c r="T50" s="26">
        <f t="shared" si="14"/>
        <v>1319.2016379570869</v>
      </c>
      <c r="U50" s="26" cm="1">
        <f t="array" ref="U50">_xlfn.IFS($B$2=1, W50, $B$2=4, Y50, $B$2=8, AA50)</f>
        <v>0</v>
      </c>
      <c r="V50" s="26" cm="1">
        <f t="array" ref="V50">_xlfn.IFS($B$2=1, X50, $B$2=4, Z50, $B$2=8, AB50)</f>
        <v>0</v>
      </c>
    </row>
    <row r="51" spans="19:28" x14ac:dyDescent="0.25">
      <c r="S51" s="26">
        <v>96</v>
      </c>
      <c r="T51" s="26">
        <f t="shared" si="14"/>
        <v>1308.8605371778415</v>
      </c>
      <c r="U51" s="26" cm="1">
        <f t="array" ref="U51">_xlfn.IFS($B$2=1, W51, $B$2=4, Y51, $B$2=8, AA51)</f>
        <v>0</v>
      </c>
      <c r="V51" s="26" cm="1">
        <f t="array" ref="V51">_xlfn.IFS($B$2=1, X51, $B$2=4, Z51, $B$2=8, AB51)</f>
        <v>0</v>
      </c>
      <c r="Y51" s="26" t="e">
        <f>$T$51-($D$9-$E$9)</f>
        <v>#N/A</v>
      </c>
      <c r="Z51" s="26" t="e">
        <f>($D$9+$F$9)-$T$51</f>
        <v>#N/A</v>
      </c>
      <c r="AA51" s="26" t="e">
        <f>$T$51-($D$7-$E$7)</f>
        <v>#N/A</v>
      </c>
      <c r="AB51" s="26" t="e">
        <f>($D$7+$F$7)-$T$51</f>
        <v>#N/A</v>
      </c>
    </row>
    <row r="52" spans="19:28" x14ac:dyDescent="0.25">
      <c r="S52" s="26">
        <v>98</v>
      </c>
      <c r="T52" s="26">
        <f t="shared" si="14"/>
        <v>1298.9199825699623</v>
      </c>
      <c r="U52" s="26" cm="1">
        <f t="array" ref="U52">_xlfn.IFS($B$2=1, W52, $B$2=4, Y52, $B$2=8, AA52)</f>
        <v>0</v>
      </c>
      <c r="V52" s="26" cm="1">
        <f t="array" ref="V52">_xlfn.IFS($B$2=1, X52, $B$2=4, Z52, $B$2=8, AB52)</f>
        <v>0</v>
      </c>
    </row>
    <row r="53" spans="19:28" x14ac:dyDescent="0.25">
      <c r="S53" s="26">
        <v>100</v>
      </c>
      <c r="T53" s="26">
        <f t="shared" si="14"/>
        <v>1289.3571444856084</v>
      </c>
      <c r="U53" s="26" cm="1">
        <f t="array" ref="U53">_xlfn.IFS($B$2=1, W53, $B$2=4, Y53, $B$2=8, AA53)</f>
        <v>0</v>
      </c>
      <c r="V53" s="26" cm="1">
        <f t="array" ref="V53">_xlfn.IFS($B$2=1, X53, $B$2=4, Z53, $B$2=8, AB53)</f>
        <v>0</v>
      </c>
    </row>
    <row r="54" spans="19:28" x14ac:dyDescent="0.25">
      <c r="S54" s="26">
        <v>102</v>
      </c>
      <c r="T54" s="26">
        <f t="shared" si="14"/>
        <v>1280.1508958702341</v>
      </c>
      <c r="U54" s="26" cm="1">
        <f t="array" ref="U54">_xlfn.IFS($B$2=1, W54, $B$2=4, Y54, $B$2=8, AA54)</f>
        <v>0</v>
      </c>
      <c r="V54" s="26" cm="1">
        <f t="array" ref="V54">_xlfn.IFS($B$2=1, X54, $B$2=4, Z54, $B$2=8, AB54)</f>
        <v>0</v>
      </c>
    </row>
    <row r="55" spans="19:28" x14ac:dyDescent="0.25">
      <c r="S55" s="26">
        <v>104</v>
      </c>
      <c r="T55" s="26">
        <f t="shared" si="14"/>
        <v>1271.2816564473324</v>
      </c>
      <c r="U55" s="26" cm="1">
        <f t="array" ref="U55">_xlfn.IFS($B$2=1, W55, $B$2=4, Y55, $B$2=8, AA55)</f>
        <v>0</v>
      </c>
      <c r="V55" s="26" cm="1">
        <f t="array" ref="V55">_xlfn.IFS($B$2=1, X55, $B$2=4, Z55, $B$2=8, AB55)</f>
        <v>0</v>
      </c>
    </row>
    <row r="56" spans="19:28" x14ac:dyDescent="0.25">
      <c r="S56" s="26">
        <v>106</v>
      </c>
      <c r="T56" s="26">
        <f t="shared" si="14"/>
        <v>1262.7312537071987</v>
      </c>
      <c r="U56" s="26" cm="1">
        <f t="array" ref="U56">_xlfn.IFS($B$2=1, W56, $B$2=4, Y56, $B$2=8, AA56)</f>
        <v>0</v>
      </c>
      <c r="V56" s="26" cm="1">
        <f t="array" ref="V56">_xlfn.IFS($B$2=1, X56, $B$2=4, Z56, $B$2=8, AB56)</f>
        <v>0</v>
      </c>
    </row>
    <row r="57" spans="19:28" x14ac:dyDescent="0.25">
      <c r="S57" s="26">
        <v>108</v>
      </c>
      <c r="T57" s="26">
        <f t="shared" si="14"/>
        <v>1254.4827986227599</v>
      </c>
      <c r="U57" s="26" cm="1">
        <f t="array" ref="U57">_xlfn.IFS($B$2=1, W57, $B$2=4, Y57, $B$2=8, AA57)</f>
        <v>0</v>
      </c>
      <c r="V57" s="26" cm="1">
        <f t="array" ref="V57">_xlfn.IFS($B$2=1, X57, $B$2=4, Z57, $B$2=8, AB57)</f>
        <v>0</v>
      </c>
    </row>
    <row r="58" spans="19:28" x14ac:dyDescent="0.25">
      <c r="S58" s="26">
        <v>110</v>
      </c>
      <c r="T58" s="26">
        <f t="shared" si="14"/>
        <v>1246.5205743038084</v>
      </c>
      <c r="U58" s="26" cm="1">
        <f t="array" ref="U58">_xlfn.IFS($B$2=1, W58, $B$2=4, Y58, $B$2=8, AA58)</f>
        <v>0</v>
      </c>
      <c r="V58" s="26" cm="1">
        <f t="array" ref="V58">_xlfn.IFS($B$2=1, X58, $B$2=4, Z58, $B$2=8, AB58)</f>
        <v>0</v>
      </c>
    </row>
    <row r="59" spans="19:28" x14ac:dyDescent="0.25">
      <c r="S59" s="26">
        <v>112</v>
      </c>
      <c r="T59" s="26">
        <f t="shared" si="14"/>
        <v>1238.8299360450244</v>
      </c>
      <c r="U59" s="26" cm="1">
        <f t="array" ref="U59">_xlfn.IFS($B$2=1, W59, $B$2=4, Y59, $B$2=8, AA59)</f>
        <v>0</v>
      </c>
      <c r="V59" s="26" cm="1">
        <f t="array" ref="V59">_xlfn.IFS($B$2=1, X59, $B$2=4, Z59, $B$2=8, AB59)</f>
        <v>0</v>
      </c>
    </row>
    <row r="60" spans="19:28" x14ac:dyDescent="0.25">
      <c r="S60" s="26">
        <v>114</v>
      </c>
      <c r="T60" s="26">
        <f t="shared" si="14"/>
        <v>1231.3972214303681</v>
      </c>
      <c r="U60" s="26" cm="1">
        <f t="array" ref="U60">_xlfn.IFS($B$2=1, W60, $B$2=4, Y60, $B$2=8, AA60)</f>
        <v>0</v>
      </c>
      <c r="V60" s="26" cm="1">
        <f t="array" ref="V60">_xlfn.IFS($B$2=1, X60, $B$2=4, Z60, $B$2=8, AB60)</f>
        <v>0</v>
      </c>
    </row>
    <row r="61" spans="19:28" x14ac:dyDescent="0.25">
      <c r="S61" s="26">
        <v>116</v>
      </c>
      <c r="T61" s="26">
        <f t="shared" si="14"/>
        <v>1224.2096693328936</v>
      </c>
      <c r="U61" s="26" cm="1">
        <f t="array" ref="U61">_xlfn.IFS($B$2=1, W61, $B$2=4, Y61, $B$2=8, AA61)</f>
        <v>0</v>
      </c>
      <c r="V61" s="26" cm="1">
        <f t="array" ref="V61">_xlfn.IFS($B$2=1, X61, $B$2=4, Z61, $B$2=8, AB61)</f>
        <v>0</v>
      </c>
    </row>
    <row r="62" spans="19:28" x14ac:dyDescent="0.25">
      <c r="S62" s="26">
        <v>118</v>
      </c>
      <c r="T62" s="26">
        <f t="shared" si="14"/>
        <v>1217.2553467997079</v>
      </c>
      <c r="U62" s="26" cm="1">
        <f t="array" ref="U62">_xlfn.IFS($B$2=1, W62, $B$2=4, Y62, $B$2=8, AA62)</f>
        <v>0</v>
      </c>
      <c r="V62" s="26" cm="1">
        <f t="array" ref="V62">_xlfn.IFS($B$2=1, X62, $B$2=4, Z62, $B$2=8, AB62)</f>
        <v>0</v>
      </c>
    </row>
    <row r="63" spans="19:28" x14ac:dyDescent="0.25">
      <c r="S63" s="26">
        <v>120</v>
      </c>
      <c r="T63" s="26">
        <f t="shared" si="14"/>
        <v>1210.5230829408479</v>
      </c>
      <c r="U63" s="26" cm="1">
        <f t="array" ref="U63">_xlfn.IFS($B$2=1, W63, $B$2=4, Y63, $B$2=8, AA63)</f>
        <v>0</v>
      </c>
      <c r="V63" s="26" cm="1">
        <f t="array" ref="V63">_xlfn.IFS($B$2=1, X63, $B$2=4, Z63, $B$2=8, AB63)</f>
        <v>0</v>
      </c>
    </row>
    <row r="64" spans="19:28" x14ac:dyDescent="0.25">
      <c r="S64" s="26">
        <v>122</v>
      </c>
      <c r="T64" s="26">
        <f t="shared" si="14"/>
        <v>1204.0024090516226</v>
      </c>
      <c r="U64" s="26" cm="1">
        <f t="array" ref="U64">_xlfn.IFS($B$2=1, W64, $B$2=4, Y64, $B$2=8, AA64)</f>
        <v>0</v>
      </c>
      <c r="V64" s="26" cm="1">
        <f t="array" ref="V64">_xlfn.IFS($B$2=1, X64, $B$2=4, Z64, $B$2=8, AB64)</f>
        <v>0</v>
      </c>
    </row>
    <row r="65" spans="19:22" x14ac:dyDescent="0.25">
      <c r="S65" s="26">
        <v>124</v>
      </c>
      <c r="T65" s="26">
        <f t="shared" si="14"/>
        <v>1197.6835042933394</v>
      </c>
      <c r="U65" s="26" cm="1">
        <f t="array" ref="U65">_xlfn.IFS($B$2=1, W65, $B$2=4, Y65, $B$2=8, AA65)</f>
        <v>0</v>
      </c>
      <c r="V65" s="26" cm="1">
        <f t="array" ref="V65">_xlfn.IFS($B$2=1, X65, $B$2=4, Z65, $B$2=8, AB65)</f>
        <v>0</v>
      </c>
    </row>
    <row r="66" spans="19:22" x14ac:dyDescent="0.25">
      <c r="S66" s="26">
        <v>126</v>
      </c>
      <c r="T66" s="26">
        <f t="shared" si="14"/>
        <v>1191.5571463396054</v>
      </c>
      <c r="U66" s="26" cm="1">
        <f t="array" ref="U66">_xlfn.IFS($B$2=1, W66, $B$2=4, Y66, $B$2=8, AA66)</f>
        <v>0</v>
      </c>
      <c r="V66" s="26" cm="1">
        <f t="array" ref="V66">_xlfn.IFS($B$2=1, X66, $B$2=4, Z66, $B$2=8, AB66)</f>
        <v>0</v>
      </c>
    </row>
    <row r="67" spans="19:22" x14ac:dyDescent="0.25">
      <c r="S67" s="26">
        <v>128</v>
      </c>
      <c r="T67" s="26">
        <f t="shared" si="14"/>
        <v>1185.6146664665716</v>
      </c>
      <c r="U67" s="26" cm="1">
        <f t="array" ref="U67">_xlfn.IFS($B$2=1, W67, $B$2=4, Y67, $B$2=8, AA67)</f>
        <v>0</v>
      </c>
      <c r="V67" s="26" cm="1">
        <f t="array" ref="V67">_xlfn.IFS($B$2=1, X67, $B$2=4, Z67, $B$2=8, AB67)</f>
        <v>0</v>
      </c>
    </row>
  </sheetData>
  <mergeCells count="17">
    <mergeCell ref="O13:P13"/>
    <mergeCell ref="O3:O4"/>
    <mergeCell ref="P3:P4"/>
    <mergeCell ref="Q3:Q4"/>
    <mergeCell ref="A2:A3"/>
    <mergeCell ref="C2:C3"/>
    <mergeCell ref="E2:F2"/>
    <mergeCell ref="H2:I2"/>
    <mergeCell ref="G2:G3"/>
    <mergeCell ref="D2:D3"/>
    <mergeCell ref="B2:B3"/>
    <mergeCell ref="W1:X1"/>
    <mergeCell ref="Y1:Z1"/>
    <mergeCell ref="AA1:AB1"/>
    <mergeCell ref="S2:T2"/>
    <mergeCell ref="U1:V1"/>
    <mergeCell ref="S1:T1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E13D955-487B-4EE3-9A19-151E4B8C1644}">
          <x14:formula1>
            <xm:f>DropDowns!$A$2:$A$4</xm:f>
          </x14:formula1>
          <xm:sqref>A2</xm:sqref>
        </x14:dataValidation>
        <x14:dataValidation type="list" allowBlank="1" showInputMessage="1" showErrorMessage="1" xr:uid="{FBD23941-C50E-4203-8C41-DC9C2ADE7E80}">
          <x14:formula1>
            <xm:f>DropDowns!$B$2:$B$4</xm:f>
          </x14:formula1>
          <xm:sqref>B2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17040-8A16-4E9E-AD97-A6E9FFE4570D}">
  <sheetPr codeName="Sheet4"/>
  <dimension ref="A1:AB67"/>
  <sheetViews>
    <sheetView tabSelected="1" topLeftCell="A36" workbookViewId="0">
      <selection activeCell="K64" sqref="K64"/>
    </sheetView>
  </sheetViews>
  <sheetFormatPr defaultRowHeight="15" x14ac:dyDescent="0.25"/>
  <cols>
    <col min="1" max="1" width="15.5703125" customWidth="1"/>
    <col min="2" max="2" width="18.28515625" customWidth="1"/>
    <col min="3" max="3" width="7" hidden="1" customWidth="1"/>
    <col min="7" max="9" width="9.5703125" bestFit="1" customWidth="1"/>
    <col min="11" max="17" width="20" customWidth="1"/>
  </cols>
  <sheetData>
    <row r="1" spans="1:28" ht="35.25" customHeight="1" x14ac:dyDescent="0.25">
      <c r="A1" s="15" t="s">
        <v>541</v>
      </c>
      <c r="B1" s="14" t="s">
        <v>580</v>
      </c>
      <c r="S1" s="50" t="s">
        <v>543</v>
      </c>
      <c r="T1" s="50"/>
      <c r="U1" s="48" t="s">
        <v>550</v>
      </c>
      <c r="V1" s="48"/>
      <c r="W1" s="48"/>
      <c r="X1" s="48"/>
      <c r="Y1" s="48"/>
      <c r="Z1" s="48"/>
      <c r="AA1" s="48"/>
      <c r="AB1" s="48"/>
    </row>
    <row r="2" spans="1:28" x14ac:dyDescent="0.25">
      <c r="A2" s="53" t="s">
        <v>10</v>
      </c>
      <c r="B2" s="53">
        <v>4</v>
      </c>
      <c r="C2" s="54" t="s">
        <v>540</v>
      </c>
      <c r="D2" s="52" t="s">
        <v>549</v>
      </c>
      <c r="E2" s="52" t="s">
        <v>550</v>
      </c>
      <c r="F2" s="52"/>
      <c r="G2" s="52" t="s">
        <v>551</v>
      </c>
      <c r="H2" s="52" t="s">
        <v>550</v>
      </c>
      <c r="I2" s="52"/>
      <c r="K2" s="15" t="s">
        <v>552</v>
      </c>
      <c r="L2" s="15" t="s">
        <v>553</v>
      </c>
      <c r="M2" s="15" t="s">
        <v>554</v>
      </c>
      <c r="N2" s="15" t="s">
        <v>555</v>
      </c>
      <c r="S2" s="48" t="s">
        <v>556</v>
      </c>
      <c r="T2" s="48"/>
      <c r="U2" s="26" t="s">
        <v>557</v>
      </c>
      <c r="V2" s="26" t="s">
        <v>558</v>
      </c>
      <c r="W2" s="26"/>
      <c r="X2" s="26"/>
      <c r="Y2" s="26"/>
      <c r="Z2" s="26"/>
      <c r="AA2" s="26"/>
      <c r="AB2" s="26"/>
    </row>
    <row r="3" spans="1:28" x14ac:dyDescent="0.25">
      <c r="A3" s="53"/>
      <c r="B3" s="53"/>
      <c r="C3" s="54"/>
      <c r="D3" s="52"/>
      <c r="E3" s="13" t="s">
        <v>557</v>
      </c>
      <c r="F3" s="13" t="s">
        <v>558</v>
      </c>
      <c r="G3" s="52"/>
      <c r="H3" s="13" t="s">
        <v>557</v>
      </c>
      <c r="I3" s="13" t="s">
        <v>558</v>
      </c>
      <c r="K3" s="15"/>
      <c r="L3" s="27" cm="1">
        <f t="array" ref="L3">INDEX(DropDowns!M2:M10, MATCH(A2&amp;B2, DropDowns!K2:K10&amp;DropDowns!L2:L10, 0))</f>
        <v>1718.98</v>
      </c>
      <c r="M3" s="28" cm="1">
        <f t="array" ref="M3">INDEX(DropDowns!N2:N10, MATCH(A2&amp;B2, DropDowns!K2:K10&amp;DropDowns!L2:L10, 0))</f>
        <v>9883.08</v>
      </c>
      <c r="N3" s="29" cm="1">
        <f t="array" ref="N3">INDEX(DropDowns!O2:O10, MATCH(A2&amp;B2, DropDowns!K2:K10&amp;DropDowns!L2:L10, 0))</f>
        <v>1.1100000000000001</v>
      </c>
      <c r="O3" s="51" t="s">
        <v>559</v>
      </c>
      <c r="P3" s="51" t="s">
        <v>560</v>
      </c>
      <c r="Q3" s="51" t="s">
        <v>561</v>
      </c>
      <c r="S3" s="26">
        <v>0</v>
      </c>
      <c r="T3" s="26">
        <f t="shared" ref="T3:T35" si="0">$L$3+($M$3/($S3+$N$3))</f>
        <v>10622.655675675675</v>
      </c>
      <c r="U3" s="26">
        <f>$T$3-($D$4-$E$4)</f>
        <v>645.6556756756745</v>
      </c>
      <c r="V3" s="26">
        <f>($D$4+$F$4)-$T$3</f>
        <v>693.3443243243255</v>
      </c>
      <c r="Y3" s="26"/>
      <c r="Z3" s="26"/>
      <c r="AA3" s="26"/>
      <c r="AB3" s="26"/>
    </row>
    <row r="4" spans="1:28" ht="44.25" customHeight="1" x14ac:dyDescent="0.25">
      <c r="B4" s="14" t="s">
        <v>581</v>
      </c>
      <c r="C4" s="16">
        <v>0</v>
      </c>
      <c r="D4" s="11">
        <f>AVERAGEIFS(CoreParsedData[UBAVisualizer (Session) Time], CoreParsedData[Agents], $C$4, CoreParsedData[Cores/Agent], C4, CoreParsedData[Target], $A$2)</f>
        <v>10630.75</v>
      </c>
      <c r="E4" s="11">
        <f>D4-_xlfn.MINIFS(CoreParsedData[UBAVisualizer (Session) Time], CoreParsedData[Agents], 0, CoreParsedData[Cores/Agent], C4, CoreParsedData[Target], $A$2)</f>
        <v>653.75</v>
      </c>
      <c r="F4" s="11">
        <f>_xlfn.MAXIFS(CoreParsedData[UBAVisualizer (Session) Time], CoreParsedData[Agents], 0, CoreParsedData[Cores/Agent], C4, CoreParsedData[Target], $A$2)-D4</f>
        <v>685.25</v>
      </c>
      <c r="G4" s="23">
        <v>1</v>
      </c>
      <c r="H4" s="23">
        <v>0</v>
      </c>
      <c r="I4" s="23">
        <v>0</v>
      </c>
      <c r="K4" s="25" t="s">
        <v>540</v>
      </c>
      <c r="L4" s="25" t="s">
        <v>564</v>
      </c>
      <c r="M4" s="25" t="s">
        <v>565</v>
      </c>
      <c r="N4" s="25" t="s">
        <v>566</v>
      </c>
      <c r="O4" s="51"/>
      <c r="P4" s="51"/>
      <c r="Q4" s="51"/>
      <c r="S4" s="26">
        <v>1</v>
      </c>
      <c r="T4" s="26">
        <f t="shared" si="0"/>
        <v>6402.9041706161133</v>
      </c>
      <c r="U4" s="26">
        <f>$T$4-($D$5-$E$5)</f>
        <v>217.90417061611333</v>
      </c>
      <c r="V4" s="26">
        <f>($D$5+$F$5)-$T$4</f>
        <v>435.09582938388667</v>
      </c>
      <c r="W4" s="26"/>
      <c r="X4" s="26"/>
      <c r="Y4" s="26"/>
      <c r="Z4" s="26"/>
      <c r="AA4" s="26"/>
      <c r="AB4" s="26"/>
    </row>
    <row r="5" spans="1:28" ht="21.75" customHeight="1" x14ac:dyDescent="0.25">
      <c r="B5" s="15" t="s">
        <v>582</v>
      </c>
      <c r="C5" s="12">
        <v>1</v>
      </c>
      <c r="D5" s="12">
        <f>IFERROR(AVERAGEIFS(CoreParsedData[UBAVisualizer (Session) Time], CoreParsedData[Agents], C5, CoreParsedData[Cores/Agent], $B$2, CoreParsedData[Target], $A$2), NA())</f>
        <v>6522</v>
      </c>
      <c r="E5" s="12">
        <f>D5-_xlfn.MINIFS(CoreParsedData[UBAVisualizer (Session) Time], CoreParsedData[Agents], C5, CoreParsedData[Cores/Agent], $B$2, CoreParsedData[Target], $A$2)</f>
        <v>337</v>
      </c>
      <c r="F5" s="12">
        <f>_xlfn.MAXIFS(CoreParsedData[UBAVisualizer (Session) Time], CoreParsedData[Agents], C5, CoreParsedData[Cores/Agent], $B$2, CoreParsedData[Target], $A$2)-D5</f>
        <v>316</v>
      </c>
      <c r="G5" s="24">
        <f t="shared" ref="G5:G7" si="1">$D$4/D5</f>
        <v>1.6299831340079731</v>
      </c>
      <c r="H5" s="24">
        <f t="shared" ref="H5:H7" si="2">($D$4/D5)-($D$4/(D5+F5))</f>
        <v>7.5325339331167029E-2</v>
      </c>
      <c r="I5" s="24">
        <f t="shared" ref="I5:I7" si="3">($D$4/(D5-E5))-($D$4/D5)</f>
        <v>8.8812338910377653E-2</v>
      </c>
      <c r="K5" s="30">
        <v>0</v>
      </c>
      <c r="L5" s="30">
        <f t="shared" ref="L5:L7" si="4">D4</f>
        <v>10630.75</v>
      </c>
      <c r="M5" s="29">
        <f>$L$3+($M$3/(1*$K5+$N$3))</f>
        <v>10622.655675675675</v>
      </c>
      <c r="N5" s="28">
        <f>_xlfn.IFNA((M5-L5)^2, 0)</f>
        <v>65.518086267367437</v>
      </c>
      <c r="O5" s="30">
        <f t="shared" ref="O5:O7" si="5">_xlfn.IFNA(D4-E4, 0)</f>
        <v>9977</v>
      </c>
      <c r="P5" s="30">
        <f t="shared" ref="P5:P7" si="6">_xlfn.IFNA(D4+F4, 999999)</f>
        <v>11316</v>
      </c>
      <c r="Q5" s="30">
        <f>IF(AND(NOT(ISNA(L5)), M5 &lt; O5), (O5 - L5)^2*1000000, 0)</f>
        <v>0</v>
      </c>
      <c r="S5" s="26">
        <v>2</v>
      </c>
      <c r="T5" s="26">
        <f t="shared" si="0"/>
        <v>4896.8192282958198</v>
      </c>
      <c r="U5" s="26">
        <v>0</v>
      </c>
      <c r="V5" s="26">
        <v>0</v>
      </c>
      <c r="W5" s="26"/>
      <c r="X5" s="26"/>
    </row>
    <row r="6" spans="1:28" ht="21.75" customHeight="1" x14ac:dyDescent="0.25">
      <c r="B6" s="15" t="s">
        <v>583</v>
      </c>
      <c r="C6" s="11">
        <v>4</v>
      </c>
      <c r="D6" s="11">
        <f>IFERROR(AVERAGEIFS(CoreParsedData[UBAVisualizer (Session) Time], CoreParsedData[Agents], C6, CoreParsedData[Cores/Agent], $B$2, CoreParsedData[Target], $A$2), NA())</f>
        <v>3368.25</v>
      </c>
      <c r="E6" s="11">
        <f>D6-_xlfn.MINIFS(CoreParsedData[UBAVisualizer (Session) Time], CoreParsedData[Agents], C6, CoreParsedData[Cores/Agent], $B$2, CoreParsedData[Target], $A$2)</f>
        <v>82.25</v>
      </c>
      <c r="F6" s="11">
        <f>_xlfn.MAXIFS(CoreParsedData[UBAVisualizer (Session) Time], CoreParsedData[Agents], C6, CoreParsedData[Cores/Agent], $B$2, CoreParsedData[Target], $A$2)-D6</f>
        <v>193.75</v>
      </c>
      <c r="G6" s="23">
        <f t="shared" si="1"/>
        <v>3.1561641802122766</v>
      </c>
      <c r="H6" s="23">
        <f t="shared" si="2"/>
        <v>0.17167512911738614</v>
      </c>
      <c r="I6" s="23">
        <f t="shared" si="3"/>
        <v>7.9000153323937727E-2</v>
      </c>
      <c r="K6" s="31">
        <v>1</v>
      </c>
      <c r="L6" s="31">
        <f t="shared" si="4"/>
        <v>6522</v>
      </c>
      <c r="M6" s="45">
        <f t="shared" ref="M6" si="7">$L$3+($M$3/(1*$K6+$N$3))</f>
        <v>6402.9041706161133</v>
      </c>
      <c r="N6" s="46">
        <f t="shared" ref="N6:N8" si="8">_xlfn.IFNA((M6-L6)^2, 0)</f>
        <v>14183.816576635843</v>
      </c>
      <c r="O6" s="31">
        <f t="shared" si="5"/>
        <v>6185</v>
      </c>
      <c r="P6" s="31">
        <f t="shared" si="6"/>
        <v>6838</v>
      </c>
      <c r="Q6" s="31">
        <f t="shared" ref="Q6:Q8" si="9">IF(AND(NOT(ISNA(L6)), M6 &lt; O6), (O6 - L6)^2*1000000, 0)</f>
        <v>0</v>
      </c>
      <c r="S6" s="26">
        <v>3</v>
      </c>
      <c r="T6" s="26">
        <f t="shared" si="0"/>
        <v>4123.622335766423</v>
      </c>
      <c r="U6" s="26">
        <v>0</v>
      </c>
      <c r="V6" s="26">
        <v>0</v>
      </c>
      <c r="W6" s="26"/>
      <c r="X6" s="26"/>
      <c r="Y6" s="26"/>
      <c r="Z6" s="26"/>
      <c r="AA6" s="26"/>
      <c r="AB6" s="26"/>
    </row>
    <row r="7" spans="1:28" ht="21.75" customHeight="1" x14ac:dyDescent="0.25">
      <c r="B7" s="15" t="s">
        <v>584</v>
      </c>
      <c r="C7" s="12">
        <v>8</v>
      </c>
      <c r="D7" s="12">
        <f>IFERROR(AVERAGEIFS(CoreParsedData[UBAVisualizer (Session) Time], CoreParsedData[Agents], C7, CoreParsedData[Cores/Agent], $B$2, CoreParsedData[Target], $A$2), NA())</f>
        <v>2999.25</v>
      </c>
      <c r="E7" s="12">
        <f>D7-_xlfn.MINIFS(CoreParsedData[UBAVisualizer (Session) Time], CoreParsedData[Agents], C7, CoreParsedData[Cores/Agent], $B$2, CoreParsedData[Target], $A$2)</f>
        <v>298.25</v>
      </c>
      <c r="F7" s="12">
        <f>_xlfn.MAXIFS(CoreParsedData[UBAVisualizer (Session) Time], CoreParsedData[Agents], C7, CoreParsedData[Cores/Agent], $B$2, CoreParsedData[Target], $A$2)-D7</f>
        <v>265.75</v>
      </c>
      <c r="G7" s="24">
        <f t="shared" si="1"/>
        <v>3.5444694506960075</v>
      </c>
      <c r="H7" s="24">
        <f t="shared" si="2"/>
        <v>0.28849701578023401</v>
      </c>
      <c r="I7" s="24">
        <f t="shared" si="3"/>
        <v>0.39138763927067144</v>
      </c>
      <c r="K7" s="30">
        <v>4</v>
      </c>
      <c r="L7" s="30">
        <f t="shared" si="4"/>
        <v>3368.25</v>
      </c>
      <c r="M7" s="29">
        <f>$L$3+($M$3/(1*$K7+$N$3))</f>
        <v>3653.0465362035225</v>
      </c>
      <c r="N7" s="28">
        <f t="shared" si="8"/>
        <v>81109.067033524276</v>
      </c>
      <c r="O7" s="30">
        <f t="shared" si="5"/>
        <v>3286</v>
      </c>
      <c r="P7" s="30">
        <f t="shared" si="6"/>
        <v>3562</v>
      </c>
      <c r="Q7" s="30">
        <f t="shared" si="9"/>
        <v>0</v>
      </c>
      <c r="S7" s="26">
        <v>4</v>
      </c>
      <c r="T7" s="26">
        <f t="shared" si="0"/>
        <v>3653.0465362035225</v>
      </c>
      <c r="U7" s="26">
        <f>$T$7-($D$6-$E$6)</f>
        <v>367.04653620352246</v>
      </c>
      <c r="V7" s="26">
        <f>($D$6+$F$6)-$T$7</f>
        <v>-91.046536203522464</v>
      </c>
      <c r="W7" s="26"/>
      <c r="X7" s="26"/>
    </row>
    <row r="8" spans="1:28" ht="21.75" customHeight="1" x14ac:dyDescent="0.25">
      <c r="K8" s="31">
        <v>8</v>
      </c>
      <c r="L8" s="31">
        <f>D7</f>
        <v>2999.25</v>
      </c>
      <c r="M8" s="45">
        <f t="shared" ref="M8" si="10">$L$3+($M$3/(1*$K8+$N$3))</f>
        <v>2803.8405927552139</v>
      </c>
      <c r="N8" s="46">
        <f t="shared" si="8"/>
        <v>38184.836439758641</v>
      </c>
      <c r="O8" s="31">
        <f>_xlfn.IFNA(D7-E7, 0)</f>
        <v>2701</v>
      </c>
      <c r="P8" s="31">
        <f>_xlfn.IFNA(D7+F7, 999999)</f>
        <v>3265</v>
      </c>
      <c r="Q8" s="31">
        <f t="shared" si="9"/>
        <v>0</v>
      </c>
      <c r="S8" s="26">
        <v>5</v>
      </c>
      <c r="T8" s="26">
        <f t="shared" si="0"/>
        <v>3336.5053682487724</v>
      </c>
      <c r="U8" s="26">
        <v>0</v>
      </c>
      <c r="V8" s="26">
        <v>0</v>
      </c>
      <c r="W8" s="26"/>
      <c r="X8" s="26"/>
      <c r="Y8" s="26"/>
      <c r="Z8" s="26"/>
      <c r="AA8" s="26"/>
      <c r="AB8" s="26"/>
    </row>
    <row r="9" spans="1:28" ht="21.75" customHeight="1" x14ac:dyDescent="0.25">
      <c r="K9" s="13"/>
      <c r="L9" s="13"/>
      <c r="M9" s="32" t="s">
        <v>574</v>
      </c>
      <c r="N9" s="44">
        <f>SUM(N5:N8)</f>
        <v>133543.23813618615</v>
      </c>
      <c r="O9" s="49" t="s">
        <v>575</v>
      </c>
      <c r="P9" s="49"/>
      <c r="Q9" s="28">
        <f>N9 + SUM(Q5:Q8)</f>
        <v>133543.23813618615</v>
      </c>
      <c r="S9" s="26">
        <v>6</v>
      </c>
      <c r="T9" s="26">
        <f t="shared" si="0"/>
        <v>3109.0053164556962</v>
      </c>
      <c r="U9" s="26">
        <v>0</v>
      </c>
      <c r="V9" s="26">
        <v>0</v>
      </c>
      <c r="W9" s="26"/>
      <c r="X9" s="26"/>
    </row>
    <row r="10" spans="1:28" ht="21.75" customHeight="1" x14ac:dyDescent="0.25">
      <c r="K10" s="15"/>
      <c r="L10" s="15"/>
      <c r="M10" s="33" t="s">
        <v>576</v>
      </c>
      <c r="N10" s="43">
        <f>SQRT(N9/COUNT(L5:L8))</f>
        <v>182.71784131290119</v>
      </c>
      <c r="O10" s="15"/>
      <c r="P10" s="15"/>
      <c r="Q10" s="15"/>
      <c r="S10" s="26">
        <v>7</v>
      </c>
      <c r="T10" s="26">
        <f t="shared" si="0"/>
        <v>2937.6088532675712</v>
      </c>
      <c r="U10" s="26">
        <v>0</v>
      </c>
      <c r="V10" s="26">
        <v>0</v>
      </c>
      <c r="W10" s="26"/>
      <c r="X10" s="26"/>
      <c r="Y10" s="26"/>
      <c r="Z10" s="26"/>
      <c r="AA10" s="26"/>
      <c r="AB10" s="26"/>
    </row>
    <row r="11" spans="1:28" x14ac:dyDescent="0.25">
      <c r="K11" s="15"/>
      <c r="L11" s="15"/>
      <c r="M11" s="33" t="s">
        <v>577</v>
      </c>
      <c r="N11" s="42" cm="1">
        <f t="array" ref="N11">N10/AVERAGE(IF(ISNUMBER(D4:D11), D4:D11))</f>
        <v>3.1074132513540662E-2</v>
      </c>
      <c r="O11" s="15"/>
      <c r="P11" s="15"/>
      <c r="Q11" s="15"/>
      <c r="S11" s="26">
        <v>8</v>
      </c>
      <c r="T11" s="26">
        <f t="shared" si="0"/>
        <v>2803.8405927552139</v>
      </c>
      <c r="U11" s="26">
        <f>$T$11-($D$7-$E$7)</f>
        <v>102.84059275521395</v>
      </c>
      <c r="V11" s="26">
        <f>($D$7+$F$7)-$T$11</f>
        <v>461.15940724478605</v>
      </c>
      <c r="W11" s="26"/>
      <c r="X11" s="26"/>
      <c r="Y11" s="26"/>
      <c r="Z11" s="26"/>
      <c r="AA11" s="26"/>
      <c r="AB11" s="26"/>
    </row>
    <row r="12" spans="1:28" x14ac:dyDescent="0.25">
      <c r="K12" s="15"/>
      <c r="L12" s="15"/>
      <c r="M12" s="33" t="s">
        <v>578</v>
      </c>
      <c r="N12" s="41">
        <f>(M3/N3)/(L3+(M3/N3))</f>
        <v>0.8381779422695389</v>
      </c>
      <c r="O12" s="15"/>
      <c r="P12" s="15"/>
      <c r="Q12" s="15"/>
      <c r="S12" s="26">
        <v>9</v>
      </c>
      <c r="T12" s="26">
        <f t="shared" si="0"/>
        <v>2696.5348961424334</v>
      </c>
      <c r="U12" s="26">
        <v>0</v>
      </c>
      <c r="V12" s="26">
        <v>0</v>
      </c>
      <c r="W12" s="26"/>
      <c r="X12" s="26"/>
      <c r="Y12" s="26"/>
      <c r="Z12" s="26"/>
      <c r="AA12" s="26"/>
      <c r="AB12" s="26"/>
    </row>
    <row r="13" spans="1:28" x14ac:dyDescent="0.25">
      <c r="K13" s="15"/>
      <c r="L13" s="15"/>
      <c r="M13" s="33" t="s">
        <v>579</v>
      </c>
      <c r="N13" s="40">
        <f>D4/L3</f>
        <v>6.184336059756367</v>
      </c>
      <c r="O13" s="15"/>
      <c r="P13" s="15"/>
      <c r="Q13" s="15"/>
      <c r="S13" s="26">
        <v>10</v>
      </c>
      <c r="T13" s="26">
        <f t="shared" si="0"/>
        <v>2608.5461566156619</v>
      </c>
      <c r="U13" s="26">
        <v>0</v>
      </c>
      <c r="V13" s="26">
        <v>0</v>
      </c>
      <c r="W13" s="26"/>
      <c r="X13" s="26"/>
      <c r="Y13" s="26"/>
      <c r="Z13" s="26"/>
      <c r="AA13" s="26"/>
      <c r="AB13" s="26"/>
    </row>
    <row r="14" spans="1:28" x14ac:dyDescent="0.25">
      <c r="S14" s="26">
        <v>11</v>
      </c>
      <c r="T14" s="26">
        <f t="shared" si="0"/>
        <v>2535.0890008257638</v>
      </c>
      <c r="U14" s="26">
        <v>0</v>
      </c>
      <c r="V14" s="26">
        <v>0</v>
      </c>
      <c r="W14" s="26"/>
      <c r="X14" s="26"/>
      <c r="Y14" s="26"/>
      <c r="Z14" s="26"/>
      <c r="AA14" s="26"/>
      <c r="AB14" s="26"/>
    </row>
    <row r="15" spans="1:28" x14ac:dyDescent="0.25">
      <c r="S15" s="26">
        <v>12</v>
      </c>
      <c r="T15" s="26">
        <f t="shared" si="0"/>
        <v>2472.8381235697943</v>
      </c>
      <c r="U15" s="26">
        <v>0</v>
      </c>
      <c r="V15" s="26">
        <v>0</v>
      </c>
      <c r="W15" s="26"/>
      <c r="X15" s="26"/>
      <c r="AA15" s="26"/>
      <c r="AB15" s="26"/>
    </row>
    <row r="16" spans="1:28" x14ac:dyDescent="0.25">
      <c r="S16" s="26">
        <v>13</v>
      </c>
      <c r="T16" s="26">
        <f t="shared" si="0"/>
        <v>2419.4109000708718</v>
      </c>
      <c r="U16" s="26">
        <v>0</v>
      </c>
      <c r="V16" s="26">
        <v>0</v>
      </c>
      <c r="W16" s="26"/>
      <c r="X16" s="26"/>
      <c r="Y16" s="26"/>
      <c r="Z16" s="26"/>
      <c r="AA16" s="26"/>
      <c r="AB16" s="26"/>
    </row>
    <row r="17" spans="19:28" x14ac:dyDescent="0.25">
      <c r="S17" s="26">
        <v>14</v>
      </c>
      <c r="T17" s="26">
        <f t="shared" si="0"/>
        <v>2373.055446724024</v>
      </c>
      <c r="U17" s="26">
        <v>0</v>
      </c>
      <c r="V17" s="26">
        <v>0</v>
      </c>
      <c r="W17" s="26"/>
      <c r="X17" s="26"/>
      <c r="Y17" s="26"/>
      <c r="Z17" s="26"/>
      <c r="AA17" s="26"/>
      <c r="AB17" s="26"/>
    </row>
    <row r="18" spans="19:28" x14ac:dyDescent="0.25">
      <c r="S18" s="26">
        <v>15</v>
      </c>
      <c r="T18" s="26">
        <f t="shared" si="0"/>
        <v>2332.4548603351955</v>
      </c>
      <c r="U18" s="26">
        <v>0</v>
      </c>
      <c r="V18" s="26">
        <v>0</v>
      </c>
      <c r="W18" s="26"/>
      <c r="X18" s="26"/>
      <c r="Y18" s="26"/>
      <c r="Z18" s="26"/>
      <c r="AA18" s="26"/>
      <c r="AB18" s="26"/>
    </row>
    <row r="19" spans="19:28" x14ac:dyDescent="0.25">
      <c r="S19" s="26">
        <v>16</v>
      </c>
      <c r="T19" s="26">
        <f t="shared" si="0"/>
        <v>2296.6001052016363</v>
      </c>
      <c r="U19" s="26">
        <v>0</v>
      </c>
      <c r="V19" s="26">
        <v>0</v>
      </c>
      <c r="W19" s="26"/>
      <c r="X19" s="47"/>
      <c r="Y19" s="26"/>
      <c r="Z19" s="26"/>
      <c r="AA19" s="26"/>
      <c r="AB19" s="26"/>
    </row>
    <row r="20" spans="19:28" x14ac:dyDescent="0.25">
      <c r="S20" s="26">
        <v>17</v>
      </c>
      <c r="T20" s="26">
        <f t="shared" si="0"/>
        <v>2264.7050138045279</v>
      </c>
      <c r="U20" s="26">
        <v>0</v>
      </c>
      <c r="V20" s="26">
        <v>0</v>
      </c>
      <c r="W20" s="26"/>
      <c r="X20" s="26"/>
      <c r="Y20" s="26"/>
      <c r="Z20" s="26"/>
      <c r="AA20" s="26"/>
      <c r="AB20" s="26"/>
    </row>
    <row r="21" spans="19:28" x14ac:dyDescent="0.25">
      <c r="S21" s="26">
        <v>18</v>
      </c>
      <c r="T21" s="26">
        <f t="shared" si="0"/>
        <v>2236.1479748822608</v>
      </c>
      <c r="U21" s="26">
        <v>0</v>
      </c>
      <c r="V21" s="26">
        <v>0</v>
      </c>
      <c r="W21" s="26"/>
      <c r="X21" s="26"/>
      <c r="Y21" s="26"/>
      <c r="Z21" s="26"/>
      <c r="AA21" s="26"/>
      <c r="AB21" s="26"/>
    </row>
    <row r="22" spans="19:28" x14ac:dyDescent="0.25">
      <c r="S22" s="26">
        <v>19</v>
      </c>
      <c r="T22" s="26">
        <f t="shared" si="0"/>
        <v>2210.4310193933366</v>
      </c>
      <c r="U22" s="26">
        <v>0</v>
      </c>
      <c r="V22" s="26">
        <v>0</v>
      </c>
      <c r="W22" s="26"/>
      <c r="X22" s="26"/>
      <c r="Y22" s="26"/>
      <c r="Z22" s="26"/>
      <c r="AA22" s="26"/>
      <c r="AB22" s="26"/>
    </row>
    <row r="23" spans="19:28" x14ac:dyDescent="0.25">
      <c r="S23" s="26">
        <v>20</v>
      </c>
      <c r="T23" s="26">
        <f t="shared" si="0"/>
        <v>2187.1505352913309</v>
      </c>
      <c r="U23" s="26">
        <v>0</v>
      </c>
      <c r="V23" s="26">
        <v>0</v>
      </c>
      <c r="W23" s="26"/>
      <c r="X23" s="26"/>
      <c r="Y23" s="26"/>
      <c r="Z23" s="26"/>
      <c r="AA23" s="26"/>
      <c r="AB23" s="26"/>
    </row>
    <row r="24" spans="19:28" x14ac:dyDescent="0.25">
      <c r="S24" s="26">
        <v>21</v>
      </c>
      <c r="T24" s="26">
        <f t="shared" si="0"/>
        <v>2165.9759294436908</v>
      </c>
      <c r="U24" s="26">
        <v>0</v>
      </c>
      <c r="V24" s="26">
        <v>0</v>
      </c>
      <c r="W24" s="26"/>
      <c r="X24" s="26"/>
      <c r="Y24" s="26"/>
      <c r="Z24" s="26"/>
      <c r="AA24" s="26"/>
      <c r="AB24" s="26"/>
    </row>
    <row r="25" spans="19:28" x14ac:dyDescent="0.25">
      <c r="S25" s="26">
        <v>22</v>
      </c>
      <c r="T25" s="26">
        <f t="shared" si="0"/>
        <v>2146.633829511034</v>
      </c>
      <c r="U25" s="26">
        <v>0</v>
      </c>
      <c r="V25" s="26">
        <v>0</v>
      </c>
      <c r="W25" s="26"/>
      <c r="X25" s="26"/>
      <c r="Y25" s="26"/>
      <c r="Z25" s="26"/>
      <c r="AA25" s="26"/>
      <c r="AB25" s="26"/>
    </row>
    <row r="26" spans="19:28" x14ac:dyDescent="0.25">
      <c r="S26" s="26">
        <v>23</v>
      </c>
      <c r="T26" s="26">
        <f t="shared" si="0"/>
        <v>2128.8962173372047</v>
      </c>
      <c r="U26" s="26">
        <v>0</v>
      </c>
      <c r="V26" s="26">
        <v>0</v>
      </c>
      <c r="W26" s="26"/>
      <c r="X26" s="26"/>
      <c r="Y26" s="26"/>
      <c r="Z26" s="26"/>
      <c r="AA26" s="26"/>
      <c r="AB26" s="26"/>
    </row>
    <row r="27" spans="19:28" x14ac:dyDescent="0.25">
      <c r="S27" s="26">
        <v>24</v>
      </c>
      <c r="T27" s="26">
        <f t="shared" si="0"/>
        <v>2112.5713978494623</v>
      </c>
      <c r="U27" s="26">
        <v>0</v>
      </c>
      <c r="V27" s="26">
        <v>0</v>
      </c>
      <c r="W27" s="26"/>
      <c r="X27" s="26"/>
      <c r="Y27" s="26"/>
      <c r="Z27" s="26"/>
      <c r="AA27" s="26"/>
      <c r="AB27" s="26"/>
    </row>
    <row r="28" spans="19:28" x14ac:dyDescent="0.25">
      <c r="S28" s="26">
        <v>25</v>
      </c>
      <c r="T28" s="26">
        <f t="shared" si="0"/>
        <v>2097.4970432784376</v>
      </c>
      <c r="U28" s="26">
        <v>0</v>
      </c>
      <c r="V28" s="26">
        <v>0</v>
      </c>
      <c r="W28" s="26"/>
      <c r="X28" s="26"/>
      <c r="Y28" s="26"/>
      <c r="Z28" s="26"/>
      <c r="AA28" s="26"/>
      <c r="AB28" s="26"/>
    </row>
    <row r="29" spans="19:28" x14ac:dyDescent="0.25">
      <c r="S29" s="26">
        <v>26</v>
      </c>
      <c r="T29" s="26">
        <f t="shared" si="0"/>
        <v>2083.5347768351162</v>
      </c>
      <c r="U29" s="26">
        <v>0</v>
      </c>
      <c r="V29" s="26">
        <v>0</v>
      </c>
      <c r="W29" s="26"/>
      <c r="X29" s="26"/>
      <c r="Y29" s="26"/>
      <c r="Z29" s="26"/>
      <c r="AA29" s="26"/>
      <c r="AB29" s="26"/>
    </row>
    <row r="30" spans="19:28" x14ac:dyDescent="0.25">
      <c r="S30" s="26">
        <v>27</v>
      </c>
      <c r="T30" s="26">
        <f t="shared" si="0"/>
        <v>2070.5659124866597</v>
      </c>
      <c r="U30" s="26">
        <v>0</v>
      </c>
      <c r="V30" s="26">
        <v>0</v>
      </c>
      <c r="W30" s="26"/>
      <c r="X30" s="26"/>
      <c r="Y30" s="26"/>
      <c r="Z30" s="26"/>
      <c r="AA30" s="26"/>
      <c r="AB30" s="26"/>
    </row>
    <row r="31" spans="19:28" x14ac:dyDescent="0.25">
      <c r="S31" s="26">
        <v>28</v>
      </c>
      <c r="T31" s="26">
        <f t="shared" si="0"/>
        <v>2058.4880728272074</v>
      </c>
      <c r="U31" s="26">
        <v>0</v>
      </c>
      <c r="V31" s="26">
        <v>0</v>
      </c>
      <c r="W31" s="26"/>
      <c r="X31" s="26"/>
      <c r="Y31" s="26"/>
      <c r="Z31" s="26"/>
      <c r="AA31" s="26"/>
      <c r="AB31" s="26"/>
    </row>
    <row r="32" spans="19:28" x14ac:dyDescent="0.25">
      <c r="S32" s="26">
        <v>29</v>
      </c>
      <c r="T32" s="26">
        <f t="shared" si="0"/>
        <v>2047.2124809033544</v>
      </c>
      <c r="U32" s="26">
        <v>0</v>
      </c>
      <c r="V32" s="26">
        <v>0</v>
      </c>
      <c r="W32" s="26"/>
      <c r="X32" s="26"/>
      <c r="Y32" s="26"/>
      <c r="Z32" s="26"/>
      <c r="AA32" s="26"/>
      <c r="AB32" s="26"/>
    </row>
    <row r="33" spans="19:28" x14ac:dyDescent="0.25">
      <c r="S33" s="26">
        <v>30</v>
      </c>
      <c r="T33" s="26">
        <f t="shared" si="0"/>
        <v>2036.661774349084</v>
      </c>
      <c r="U33" s="26">
        <v>0</v>
      </c>
      <c r="V33" s="26">
        <v>0</v>
      </c>
      <c r="W33" s="26"/>
      <c r="X33" s="26"/>
      <c r="Y33" s="26"/>
      <c r="Z33" s="26"/>
      <c r="AA33" s="26"/>
      <c r="AB33" s="26"/>
    </row>
    <row r="34" spans="19:28" x14ac:dyDescent="0.25">
      <c r="S34" s="26">
        <v>31</v>
      </c>
      <c r="T34" s="26">
        <f t="shared" si="0"/>
        <v>2026.7682279663657</v>
      </c>
      <c r="U34" s="26">
        <v>0</v>
      </c>
      <c r="V34" s="26">
        <v>0</v>
      </c>
      <c r="W34" s="26"/>
      <c r="X34" s="26"/>
      <c r="Y34" s="26"/>
      <c r="Z34" s="26"/>
      <c r="AA34" s="26"/>
      <c r="AB34" s="26"/>
    </row>
    <row r="35" spans="19:28" x14ac:dyDescent="0.25">
      <c r="S35" s="26">
        <v>32</v>
      </c>
      <c r="T35" s="26">
        <f t="shared" si="0"/>
        <v>2017.4722983992751</v>
      </c>
      <c r="U35" s="26">
        <v>0</v>
      </c>
      <c r="V35" s="26">
        <v>0</v>
      </c>
      <c r="W35" s="26"/>
      <c r="X35" s="47"/>
      <c r="Y35" s="26"/>
      <c r="Z35" s="26"/>
      <c r="AA35" s="26"/>
      <c r="AB35" s="26"/>
    </row>
    <row r="36" spans="19:28" x14ac:dyDescent="0.25">
      <c r="S36" s="26"/>
      <c r="T36" s="26"/>
      <c r="U36" s="26"/>
      <c r="V36" s="26"/>
    </row>
    <row r="37" spans="19:28" x14ac:dyDescent="0.25">
      <c r="S37" s="26"/>
      <c r="T37" s="26"/>
      <c r="U37" s="26"/>
      <c r="V37" s="26"/>
    </row>
    <row r="38" spans="19:28" x14ac:dyDescent="0.25">
      <c r="S38" s="26"/>
      <c r="T38" s="26"/>
      <c r="U38" s="26"/>
      <c r="V38" s="26"/>
    </row>
    <row r="39" spans="19:28" x14ac:dyDescent="0.25">
      <c r="S39" s="26"/>
      <c r="T39" s="26"/>
      <c r="U39" s="26"/>
      <c r="V39" s="26"/>
    </row>
    <row r="40" spans="19:28" x14ac:dyDescent="0.25">
      <c r="S40" s="26"/>
      <c r="T40" s="26"/>
      <c r="U40" s="26"/>
      <c r="V40" s="26"/>
    </row>
    <row r="41" spans="19:28" x14ac:dyDescent="0.25">
      <c r="S41" s="26"/>
      <c r="T41" s="26"/>
      <c r="U41" s="26"/>
      <c r="V41" s="26"/>
    </row>
    <row r="42" spans="19:28" x14ac:dyDescent="0.25">
      <c r="S42" s="26"/>
      <c r="T42" s="26"/>
      <c r="U42" s="26"/>
      <c r="V42" s="26"/>
    </row>
    <row r="43" spans="19:28" x14ac:dyDescent="0.25">
      <c r="S43" s="26"/>
      <c r="T43" s="26"/>
      <c r="U43" s="26"/>
      <c r="V43" s="26"/>
    </row>
    <row r="44" spans="19:28" x14ac:dyDescent="0.25">
      <c r="S44" s="26"/>
      <c r="T44" s="26"/>
      <c r="U44" s="26"/>
      <c r="V44" s="26"/>
    </row>
    <row r="45" spans="19:28" x14ac:dyDescent="0.25">
      <c r="S45" s="26"/>
      <c r="T45" s="26"/>
      <c r="U45" s="26"/>
      <c r="V45" s="26"/>
    </row>
    <row r="46" spans="19:28" x14ac:dyDescent="0.25">
      <c r="S46" s="26"/>
      <c r="T46" s="26"/>
      <c r="U46" s="26"/>
      <c r="V46" s="26"/>
    </row>
    <row r="47" spans="19:28" x14ac:dyDescent="0.25">
      <c r="S47" s="26"/>
      <c r="T47" s="26"/>
      <c r="U47" s="26"/>
      <c r="V47" s="26"/>
    </row>
    <row r="48" spans="19:28" x14ac:dyDescent="0.25">
      <c r="S48" s="26"/>
      <c r="T48" s="26"/>
      <c r="U48" s="26"/>
      <c r="V48" s="26"/>
    </row>
    <row r="49" spans="19:28" x14ac:dyDescent="0.25">
      <c r="S49" s="26"/>
      <c r="T49" s="26"/>
      <c r="U49" s="26"/>
      <c r="V49" s="26"/>
    </row>
    <row r="50" spans="19:28" x14ac:dyDescent="0.25">
      <c r="S50" s="26"/>
      <c r="T50" s="26"/>
      <c r="U50" s="26"/>
      <c r="V50" s="26"/>
    </row>
    <row r="51" spans="19:28" x14ac:dyDescent="0.25">
      <c r="S51" s="26"/>
      <c r="T51" s="26"/>
      <c r="U51" s="26"/>
      <c r="V51" s="26"/>
      <c r="Y51" s="26"/>
      <c r="Z51" s="26"/>
      <c r="AA51" s="26"/>
      <c r="AB51" s="26"/>
    </row>
    <row r="52" spans="19:28" x14ac:dyDescent="0.25">
      <c r="S52" s="26"/>
      <c r="T52" s="26"/>
      <c r="U52" s="26"/>
      <c r="V52" s="26"/>
    </row>
    <row r="53" spans="19:28" x14ac:dyDescent="0.25">
      <c r="S53" s="26"/>
      <c r="T53" s="26"/>
      <c r="U53" s="26"/>
      <c r="V53" s="26"/>
    </row>
    <row r="54" spans="19:28" x14ac:dyDescent="0.25">
      <c r="S54" s="26"/>
      <c r="T54" s="26"/>
      <c r="U54" s="26"/>
      <c r="V54" s="26"/>
    </row>
    <row r="55" spans="19:28" x14ac:dyDescent="0.25">
      <c r="S55" s="26"/>
      <c r="T55" s="26"/>
      <c r="U55" s="26"/>
      <c r="V55" s="26"/>
    </row>
    <row r="56" spans="19:28" x14ac:dyDescent="0.25">
      <c r="S56" s="26"/>
      <c r="T56" s="26"/>
      <c r="U56" s="26"/>
      <c r="V56" s="26"/>
    </row>
    <row r="57" spans="19:28" x14ac:dyDescent="0.25">
      <c r="S57" s="26"/>
      <c r="T57" s="26"/>
      <c r="U57" s="26"/>
      <c r="V57" s="26"/>
    </row>
    <row r="58" spans="19:28" x14ac:dyDescent="0.25">
      <c r="S58" s="26"/>
      <c r="T58" s="26"/>
      <c r="U58" s="26"/>
      <c r="V58" s="26"/>
    </row>
    <row r="59" spans="19:28" x14ac:dyDescent="0.25">
      <c r="S59" s="26"/>
      <c r="T59" s="26"/>
      <c r="U59" s="26"/>
      <c r="V59" s="26"/>
    </row>
    <row r="60" spans="19:28" x14ac:dyDescent="0.25">
      <c r="S60" s="26"/>
      <c r="T60" s="26"/>
      <c r="U60" s="26"/>
      <c r="V60" s="26"/>
    </row>
    <row r="61" spans="19:28" x14ac:dyDescent="0.25">
      <c r="S61" s="26"/>
      <c r="T61" s="26"/>
      <c r="U61" s="26"/>
      <c r="V61" s="26"/>
    </row>
    <row r="62" spans="19:28" x14ac:dyDescent="0.25">
      <c r="S62" s="26"/>
      <c r="T62" s="26"/>
      <c r="U62" s="26"/>
      <c r="V62" s="26"/>
    </row>
    <row r="63" spans="19:28" x14ac:dyDescent="0.25">
      <c r="S63" s="26"/>
      <c r="T63" s="26"/>
      <c r="U63" s="26"/>
      <c r="V63" s="26"/>
    </row>
    <row r="64" spans="19:28" x14ac:dyDescent="0.25">
      <c r="S64" s="26"/>
      <c r="T64" s="26"/>
      <c r="U64" s="26"/>
      <c r="V64" s="26"/>
    </row>
    <row r="65" spans="19:22" x14ac:dyDescent="0.25">
      <c r="S65" s="26"/>
      <c r="T65" s="26"/>
      <c r="U65" s="26"/>
      <c r="V65" s="26"/>
    </row>
    <row r="66" spans="19:22" x14ac:dyDescent="0.25">
      <c r="S66" s="26"/>
      <c r="T66" s="26"/>
      <c r="U66" s="26"/>
      <c r="V66" s="26"/>
    </row>
    <row r="67" spans="19:22" x14ac:dyDescent="0.25">
      <c r="S67" s="26"/>
      <c r="T67" s="26"/>
      <c r="U67" s="26"/>
      <c r="V67" s="26"/>
    </row>
  </sheetData>
  <mergeCells count="17">
    <mergeCell ref="H2:I2"/>
    <mergeCell ref="A2:A3"/>
    <mergeCell ref="B2:B3"/>
    <mergeCell ref="C2:C3"/>
    <mergeCell ref="D2:D3"/>
    <mergeCell ref="E2:F2"/>
    <mergeCell ref="G2:G3"/>
    <mergeCell ref="Y1:Z1"/>
    <mergeCell ref="AA1:AB1"/>
    <mergeCell ref="S2:T2"/>
    <mergeCell ref="O9:P9"/>
    <mergeCell ref="S1:T1"/>
    <mergeCell ref="U1:V1"/>
    <mergeCell ref="W1:X1"/>
    <mergeCell ref="O3:O4"/>
    <mergeCell ref="P3:P4"/>
    <mergeCell ref="Q3:Q4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A17DF71-BA22-4621-81C5-FD261C32644E}">
          <x14:formula1>
            <xm:f>DropDowns!$A$2:$A$4</xm:f>
          </x14:formula1>
          <xm:sqref>A2</xm:sqref>
        </x14:dataValidation>
        <x14:dataValidation type="list" allowBlank="1" showInputMessage="1" showErrorMessage="1" xr:uid="{6B5B8F4E-B5EA-4875-AABF-7AADB457C4A9}">
          <x14:formula1>
            <xm:f>DropDowns!$C$2:$C$8</xm:f>
          </x14:formula1>
          <xm:sqref>B2:B3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0A61D-C0DD-47D9-AA0D-67847228E6B8}">
  <sheetPr codeName="Sheet5"/>
  <dimension ref="A1:AT7"/>
  <sheetViews>
    <sheetView workbookViewId="0">
      <selection activeCell="B2" sqref="B2:B3"/>
    </sheetView>
  </sheetViews>
  <sheetFormatPr defaultRowHeight="15" x14ac:dyDescent="0.25"/>
  <cols>
    <col min="1" max="2" width="17.140625" customWidth="1"/>
    <col min="3" max="3" width="9.140625" hidden="1" customWidth="1"/>
    <col min="7" max="9" width="9.5703125" bestFit="1" customWidth="1"/>
  </cols>
  <sheetData>
    <row r="1" spans="1:46" x14ac:dyDescent="0.25">
      <c r="A1" s="15" t="s">
        <v>541</v>
      </c>
      <c r="B1" s="15" t="s">
        <v>585</v>
      </c>
    </row>
    <row r="2" spans="1:46" x14ac:dyDescent="0.25">
      <c r="A2" s="53" t="s">
        <v>10</v>
      </c>
      <c r="B2" s="53">
        <v>16</v>
      </c>
      <c r="C2" s="54" t="s">
        <v>540</v>
      </c>
      <c r="D2" s="52" t="s">
        <v>549</v>
      </c>
      <c r="E2" s="52" t="s">
        <v>550</v>
      </c>
      <c r="F2" s="52"/>
      <c r="G2" s="52" t="s">
        <v>551</v>
      </c>
      <c r="H2" s="52" t="s">
        <v>550</v>
      </c>
      <c r="I2" s="52"/>
      <c r="AN2" s="21"/>
      <c r="AO2" s="22"/>
      <c r="AP2" s="22"/>
      <c r="AQ2" s="22"/>
      <c r="AR2" s="22"/>
      <c r="AS2" s="22"/>
      <c r="AT2" s="22"/>
    </row>
    <row r="3" spans="1:46" x14ac:dyDescent="0.25">
      <c r="A3" s="53"/>
      <c r="B3" s="53"/>
      <c r="C3" s="54"/>
      <c r="D3" s="52"/>
      <c r="E3" s="13" t="s">
        <v>557</v>
      </c>
      <c r="F3" s="13" t="s">
        <v>558</v>
      </c>
      <c r="G3" s="52"/>
      <c r="H3" s="13" t="s">
        <v>557</v>
      </c>
      <c r="I3" s="13" t="s">
        <v>558</v>
      </c>
      <c r="AN3" s="21"/>
      <c r="AO3" s="22"/>
      <c r="AP3" s="20"/>
      <c r="AQ3" s="20"/>
      <c r="AR3" s="22"/>
      <c r="AS3" s="20"/>
      <c r="AT3" s="20"/>
    </row>
    <row r="4" spans="1:46" ht="30" x14ac:dyDescent="0.25">
      <c r="B4" s="14" t="s">
        <v>581</v>
      </c>
      <c r="C4" s="16">
        <v>0</v>
      </c>
      <c r="D4" s="11">
        <f>AVERAGEIFS(CoreParsedData[UBAVisualizer (Session) Time], CoreParsedData[Agents], $C$4, CoreParsedData[Cores/Agent], C4, CoreParsedData[Target], $A$2)</f>
        <v>10630.75</v>
      </c>
      <c r="E4" s="11">
        <f>D4-_xlfn.MINIFS(CoreParsedData[UBAVisualizer (Session) Time], CoreParsedData[Agents], 0, CoreParsedData[Cores/Agent], C4, CoreParsedData[Target], $A$2)</f>
        <v>653.75</v>
      </c>
      <c r="F4" s="11">
        <f>_xlfn.MAXIFS(CoreParsedData[UBAVisualizer (Session) Time], CoreParsedData[Agents], 0, CoreParsedData[Cores/Agent], C4, CoreParsedData[Target], $A$2)-D4</f>
        <v>685.25</v>
      </c>
      <c r="G4" s="23">
        <v>1</v>
      </c>
      <c r="H4" s="23">
        <v>0</v>
      </c>
      <c r="I4" s="23">
        <v>0</v>
      </c>
      <c r="AM4" s="21"/>
      <c r="AN4" s="21"/>
    </row>
    <row r="5" spans="1:46" x14ac:dyDescent="0.25">
      <c r="B5" s="15" t="s">
        <v>582</v>
      </c>
      <c r="C5" s="12">
        <v>1</v>
      </c>
      <c r="D5" s="12">
        <f>IFERROR(AVERAGEIFS(CoreParsedData[UBAVisualizer (Session) Time], CoreParsedData[Agents], C5, CoreParsedData[Total Cores], $B$2, CoreParsedData[Target], $A$2), NA())</f>
        <v>3076.25</v>
      </c>
      <c r="E5" s="12">
        <f>D5-_xlfn.MINIFS(CoreParsedData[UBAVisualizer (Session) Time], CoreParsedData[Agents], C5, CoreParsedData[Total Cores], $B$2, CoreParsedData[Target], $A$2)</f>
        <v>58.25</v>
      </c>
      <c r="F5" s="12">
        <f>_xlfn.MAXIFS(CoreParsedData[UBAVisualizer (Session) Time], CoreParsedData[Agents], C5, CoreParsedData[Total Cores], $B$2, CoreParsedData[Target], $A$2)-D5</f>
        <v>56.75</v>
      </c>
      <c r="G5" s="24">
        <f>$D$4/D5</f>
        <v>3.4557496952458351</v>
      </c>
      <c r="H5" s="24">
        <f>($D$4/D5)-($D$4/(D5+F5))</f>
        <v>6.2596168274880792E-2</v>
      </c>
      <c r="I5" s="24">
        <f>($D$4/(D5-E5))-($D$4/D5)</f>
        <v>6.6698946238591628E-2</v>
      </c>
    </row>
    <row r="6" spans="1:46" x14ac:dyDescent="0.25">
      <c r="B6" s="15" t="s">
        <v>583</v>
      </c>
      <c r="C6" s="11">
        <v>4</v>
      </c>
      <c r="D6" s="11">
        <f>IFERROR(AVERAGEIFS(CoreParsedData[UBAVisualizer (Session) Time], CoreParsedData[Agents], C6, CoreParsedData[Total Cores], $B$2, CoreParsedData[Target], $A$2), NA())</f>
        <v>3368.25</v>
      </c>
      <c r="E6" s="11">
        <f>D6-_xlfn.MINIFS(CoreParsedData[UBAVisualizer (Session) Time], CoreParsedData[Agents], C6, CoreParsedData[Total Cores], $B$2, CoreParsedData[Target], $A$2)</f>
        <v>82.25</v>
      </c>
      <c r="F6" s="11">
        <f>_xlfn.MAXIFS(CoreParsedData[UBAVisualizer (Session) Time], CoreParsedData[Agents], C6, CoreParsedData[Total Cores], $B$2, CoreParsedData[Target], $A$2)-D6</f>
        <v>193.75</v>
      </c>
      <c r="G6" s="23">
        <f>$D$4/D6</f>
        <v>3.1561641802122766</v>
      </c>
      <c r="H6" s="23">
        <f>($D$4/D6)-($D$4/(D6+F6))</f>
        <v>0.17167512911738614</v>
      </c>
      <c r="I6" s="23">
        <f>($D$4/(D6-E6))-($D$4/D6)</f>
        <v>7.9000153323937727E-2</v>
      </c>
    </row>
    <row r="7" spans="1:46" x14ac:dyDescent="0.25">
      <c r="B7" s="15" t="s">
        <v>584</v>
      </c>
      <c r="C7" s="12">
        <v>8</v>
      </c>
      <c r="D7" s="12" t="e">
        <f>IFERROR(AVERAGEIFS(CoreParsedData[UBAVisualizer (Session) Time], CoreParsedData[Agents], C7, CoreParsedData[Total Cores], $B$2, CoreParsedData[Target], $A$2), NA())</f>
        <v>#N/A</v>
      </c>
      <c r="E7" s="12" t="e">
        <f>D7-_xlfn.MINIFS(CoreParsedData[UBAVisualizer (Session) Time], CoreParsedData[Agents], C7, CoreParsedData[Total Cores], $B$2, CoreParsedData[Target], $A$2)</f>
        <v>#N/A</v>
      </c>
      <c r="F7" s="12" t="e">
        <f>_xlfn.MAXIFS(CoreParsedData[UBAVisualizer (Session) Time], CoreParsedData[Agents], C7, CoreParsedData[Total Cores], $B$2, CoreParsedData[Target], $A$2)-D7</f>
        <v>#N/A</v>
      </c>
      <c r="G7" s="24" t="e">
        <f>$D$4/D7</f>
        <v>#N/A</v>
      </c>
      <c r="H7" s="24" t="e">
        <f>($D$4/D7)-($D$4/(D7+F7))</f>
        <v>#N/A</v>
      </c>
      <c r="I7" s="24" t="e">
        <f>($D$4/(D7-E7))-($D$4/D7)</f>
        <v>#N/A</v>
      </c>
    </row>
  </sheetData>
  <mergeCells count="7">
    <mergeCell ref="G2:G3"/>
    <mergeCell ref="H2:I2"/>
    <mergeCell ref="A2:A3"/>
    <mergeCell ref="B2:B3"/>
    <mergeCell ref="C2:C3"/>
    <mergeCell ref="D2:D3"/>
    <mergeCell ref="E2:F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2E38954-271F-41FD-9816-FBFF26ADBD6F}">
          <x14:formula1>
            <xm:f>DropDowns!$D$2:$D$5</xm:f>
          </x14:formula1>
          <xm:sqref>AM2:AM3 B2:B3</xm:sqref>
        </x14:dataValidation>
        <x14:dataValidation type="list" allowBlank="1" showInputMessage="1" showErrorMessage="1" xr:uid="{DC067C13-0C22-4E3E-8458-067F541007E4}">
          <x14:formula1>
            <xm:f>DropDowns!$A$2:$A$4</xm:f>
          </x14:formula1>
          <xm:sqref>AL2 A2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2592B-8A6C-47AD-8E84-6837F97634E1}">
  <sheetPr codeName="Sheet6"/>
  <dimension ref="A1:H11"/>
  <sheetViews>
    <sheetView workbookViewId="0">
      <selection activeCell="K8" sqref="K8"/>
    </sheetView>
  </sheetViews>
  <sheetFormatPr defaultRowHeight="15" x14ac:dyDescent="0.25"/>
  <cols>
    <col min="1" max="1" width="20.28515625" customWidth="1"/>
  </cols>
  <sheetData>
    <row r="1" spans="1:8" x14ac:dyDescent="0.25">
      <c r="A1" s="15" t="s">
        <v>541</v>
      </c>
    </row>
    <row r="2" spans="1:8" x14ac:dyDescent="0.25">
      <c r="A2" s="53" t="s">
        <v>14</v>
      </c>
      <c r="B2" s="51" t="s">
        <v>298</v>
      </c>
      <c r="C2" s="52" t="s">
        <v>549</v>
      </c>
      <c r="D2" s="52" t="s">
        <v>550</v>
      </c>
      <c r="E2" s="52"/>
      <c r="F2" s="52" t="s">
        <v>586</v>
      </c>
      <c r="G2" s="56"/>
      <c r="H2" s="56"/>
    </row>
    <row r="3" spans="1:8" x14ac:dyDescent="0.25">
      <c r="A3" s="53"/>
      <c r="B3" s="51"/>
      <c r="C3" s="52"/>
      <c r="D3" s="13" t="s">
        <v>557</v>
      </c>
      <c r="E3" s="13" t="s">
        <v>558</v>
      </c>
      <c r="F3" s="52"/>
      <c r="G3" s="20"/>
      <c r="H3" s="20"/>
    </row>
    <row r="4" spans="1:8" ht="20.25" customHeight="1" x14ac:dyDescent="0.25">
      <c r="A4" s="25" t="s">
        <v>587</v>
      </c>
      <c r="B4" s="16">
        <v>1</v>
      </c>
      <c r="C4" s="11">
        <f>AVERAGEIFS(RAMParsedData[UBAVisualizer (Session) Time], RAMParsedData[RAM], B4, RAMParsedData[Target], $A$2)</f>
        <v>583.5</v>
      </c>
      <c r="D4" s="11">
        <f>C4-_xlfn.MINIFS(RAMParsedData[UBAVisualizer (Session) Time], RAMParsedData[RAM], B4, RAMParsedData[Target], $A$2)</f>
        <v>107.5</v>
      </c>
      <c r="E4" s="11">
        <f>_xlfn.MAXIFS(RAMParsedData[UBAVisualizer (Session) Time], RAMParsedData[RAM], B4, RAMParsedData[Target], $A$2)-C4</f>
        <v>61.5</v>
      </c>
      <c r="F4" s="23">
        <f>AVERAGEIFS(CoreParsedData[UBAVisualizer (Session) Time], CoreParsedData[Agents], 0, CoreParsedData[Cores/Agent], 0, CoreParsedData[Target], $A$2)</f>
        <v>518.75</v>
      </c>
      <c r="G4" s="17"/>
      <c r="H4" s="17"/>
    </row>
    <row r="5" spans="1:8" ht="20.25" customHeight="1" x14ac:dyDescent="0.25">
      <c r="A5" s="13" t="s">
        <v>588</v>
      </c>
      <c r="B5" s="12">
        <v>2</v>
      </c>
      <c r="C5" s="12">
        <f>AVERAGEIFS(RAMParsedData[UBAVisualizer (Session) Time], RAMParsedData[RAM], B5, RAMParsedData[Target], $A$2)</f>
        <v>478.75</v>
      </c>
      <c r="D5" s="12">
        <f>C5-_xlfn.MINIFS(RAMParsedData[UBAVisualizer (Session) Time], RAMParsedData[RAM], B5, RAMParsedData[Target], $A$2)</f>
        <v>49.75</v>
      </c>
      <c r="E5" s="12">
        <f>_xlfn.MAXIFS(RAMParsedData[UBAVisualizer (Session) Time], RAMParsedData[RAM], B5, RAMParsedData[Target], $A$2)-C5</f>
        <v>51.25</v>
      </c>
      <c r="F5" s="24">
        <f>AVERAGEIFS(CoreParsedData[UBAVisualizer (Session) Time], CoreParsedData[Agents], 0, CoreParsedData[Cores/Agent], 0, CoreParsedData[Target], $A$2)</f>
        <v>518.75</v>
      </c>
      <c r="G5" s="17"/>
      <c r="H5" s="17"/>
    </row>
    <row r="6" spans="1:8" ht="20.25" customHeight="1" x14ac:dyDescent="0.25">
      <c r="A6" s="13" t="s">
        <v>589</v>
      </c>
      <c r="B6" s="11">
        <v>4</v>
      </c>
      <c r="C6" s="11">
        <f>AVERAGEIFS(RAMParsedData[UBAVisualizer (Session) Time], RAMParsedData[RAM], B6, RAMParsedData[Target], $A$2)</f>
        <v>172.25</v>
      </c>
      <c r="D6" s="11">
        <f>C6-_xlfn.MINIFS(RAMParsedData[UBAVisualizer (Session) Time], RAMParsedData[RAM], B6, RAMParsedData[Target], $A$2)</f>
        <v>15.25</v>
      </c>
      <c r="E6" s="11">
        <f>_xlfn.MAXIFS(RAMParsedData[UBAVisualizer (Session) Time], RAMParsedData[RAM], B6, RAMParsedData[Target], $A$2)-C6</f>
        <v>12.75</v>
      </c>
      <c r="F6" s="23">
        <f>AVERAGEIFS(CoreParsedData[UBAVisualizer (Session) Time], CoreParsedData[Agents], 0, CoreParsedData[Cores/Agent], 0, CoreParsedData[Target], $A$2)</f>
        <v>518.75</v>
      </c>
      <c r="G6" s="17"/>
      <c r="H6" s="17"/>
    </row>
    <row r="7" spans="1:8" ht="20.25" customHeight="1" x14ac:dyDescent="0.25">
      <c r="A7" s="13" t="s">
        <v>590</v>
      </c>
      <c r="B7" s="12">
        <v>8</v>
      </c>
      <c r="C7" s="12">
        <f>AVERAGEIFS(RAMParsedData[UBAVisualizer (Session) Time], RAMParsedData[RAM], B7, RAMParsedData[Target], $A$2)</f>
        <v>169.75</v>
      </c>
      <c r="D7" s="12">
        <f>C7-_xlfn.MINIFS(RAMParsedData[UBAVisualizer (Session) Time], RAMParsedData[RAM], B7, RAMParsedData[Target], $A$2)</f>
        <v>15.75</v>
      </c>
      <c r="E7" s="12">
        <f>_xlfn.MAXIFS(RAMParsedData[UBAVisualizer (Session) Time], RAMParsedData[RAM], B7, RAMParsedData[Target], $A$2)-C7</f>
        <v>25.25</v>
      </c>
      <c r="F7" s="24">
        <f>AVERAGEIFS(CoreParsedData[UBAVisualizer (Session) Time], CoreParsedData[Agents], 0, CoreParsedData[Cores/Agent], 0, CoreParsedData[Target], $A$2)</f>
        <v>518.75</v>
      </c>
      <c r="G7" s="17"/>
      <c r="H7" s="17"/>
    </row>
    <row r="8" spans="1:8" ht="20.25" customHeight="1" x14ac:dyDescent="0.25">
      <c r="A8" s="13" t="s">
        <v>591</v>
      </c>
      <c r="B8" s="11">
        <v>16</v>
      </c>
      <c r="C8" s="11">
        <f>AVERAGEIFS(RAMParsedData[UBAVisualizer (Session) Time], RAMParsedData[RAM], B8, RAMParsedData[Target], $A$2)</f>
        <v>191.25</v>
      </c>
      <c r="D8" s="11">
        <f>C8-_xlfn.MINIFS(RAMParsedData[UBAVisualizer (Session) Time], RAMParsedData[RAM], B8, RAMParsedData[Target], $A$2)</f>
        <v>16.25</v>
      </c>
      <c r="E8" s="11">
        <f>_xlfn.MAXIFS(RAMParsedData[UBAVisualizer (Session) Time], RAMParsedData[RAM], B8, RAMParsedData[Target], $A$2)-C8</f>
        <v>16.75</v>
      </c>
      <c r="F8" s="23">
        <f>AVERAGEIFS(CoreParsedData[UBAVisualizer (Session) Time], CoreParsedData[Agents], 0, CoreParsedData[Cores/Agent], 0, CoreParsedData[Target], $A$2)</f>
        <v>518.75</v>
      </c>
    </row>
    <row r="9" spans="1:8" ht="20.25" customHeight="1" x14ac:dyDescent="0.25">
      <c r="A9" s="13" t="s">
        <v>592</v>
      </c>
      <c r="B9" s="12">
        <v>24</v>
      </c>
      <c r="C9" s="12">
        <f>AVERAGEIFS(RAMParsedData[UBAVisualizer (Session) Time], RAMParsedData[RAM], B9, RAMParsedData[Target], $A$2)</f>
        <v>169</v>
      </c>
      <c r="D9" s="12">
        <f>C9-_xlfn.MINIFS(RAMParsedData[UBAVisualizer (Session) Time], RAMParsedData[RAM], B9, RAMParsedData[Target], $A$2)</f>
        <v>29</v>
      </c>
      <c r="E9" s="12">
        <f>_xlfn.MAXIFS(RAMParsedData[UBAVisualizer (Session) Time], RAMParsedData[RAM], B9, RAMParsedData[Target], $A$2)-C9</f>
        <v>33</v>
      </c>
      <c r="F9" s="24">
        <f>AVERAGEIFS(CoreParsedData[UBAVisualizer (Session) Time], CoreParsedData[Agents], 0, CoreParsedData[Cores/Agent], 0, CoreParsedData[Target], $A$2)</f>
        <v>518.75</v>
      </c>
    </row>
    <row r="11" spans="1:8" x14ac:dyDescent="0.25">
      <c r="B11" t="s">
        <v>593</v>
      </c>
    </row>
  </sheetData>
  <mergeCells count="6">
    <mergeCell ref="G2:H2"/>
    <mergeCell ref="A2:A3"/>
    <mergeCell ref="B2:B3"/>
    <mergeCell ref="C2:C3"/>
    <mergeCell ref="F2:F3"/>
    <mergeCell ref="D2:E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A0A3CB-8ED7-4B4F-B48E-A09AE9D2C030}">
          <x14:formula1>
            <xm:f>DropDowns!$A$2:$A$4</xm:f>
          </x14:formula1>
          <xm:sqref>A2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56EC7-1745-4F3E-BB16-C168004AF9DE}">
  <sheetPr codeName="Sheet7"/>
  <dimension ref="A1:Q32"/>
  <sheetViews>
    <sheetView workbookViewId="0">
      <selection activeCell="J16" sqref="J16"/>
    </sheetView>
  </sheetViews>
  <sheetFormatPr defaultRowHeight="15" x14ac:dyDescent="0.25"/>
  <cols>
    <col min="5" max="16" width="12.140625" customWidth="1"/>
  </cols>
  <sheetData>
    <row r="1" spans="1:16" x14ac:dyDescent="0.25">
      <c r="A1" s="15" t="s">
        <v>3</v>
      </c>
      <c r="B1" s="15" t="s">
        <v>540</v>
      </c>
      <c r="C1" s="15" t="s">
        <v>563</v>
      </c>
      <c r="D1" s="15" t="s">
        <v>594</v>
      </c>
      <c r="E1" s="15" t="s">
        <v>3</v>
      </c>
      <c r="F1" s="15" t="s">
        <v>540</v>
      </c>
      <c r="G1" s="15" t="s">
        <v>595</v>
      </c>
      <c r="H1" s="15" t="s">
        <v>596</v>
      </c>
      <c r="I1" s="15" t="s">
        <v>597</v>
      </c>
      <c r="J1" s="15" t="s">
        <v>598</v>
      </c>
      <c r="K1" s="15" t="s">
        <v>3</v>
      </c>
      <c r="L1" s="15" t="s">
        <v>563</v>
      </c>
      <c r="M1" s="15" t="s">
        <v>595</v>
      </c>
      <c r="N1" s="15" t="s">
        <v>596</v>
      </c>
      <c r="O1" s="15" t="s">
        <v>597</v>
      </c>
      <c r="P1" s="15" t="s">
        <v>598</v>
      </c>
    </row>
    <row r="2" spans="1:16" x14ac:dyDescent="0.25">
      <c r="A2" s="11" t="s">
        <v>10</v>
      </c>
      <c r="B2" s="12">
        <v>1</v>
      </c>
      <c r="C2" s="11">
        <v>4</v>
      </c>
      <c r="D2" s="12">
        <v>16</v>
      </c>
      <c r="E2" s="11" t="s">
        <v>10</v>
      </c>
      <c r="F2" s="11">
        <v>1</v>
      </c>
      <c r="G2" s="34">
        <v>795.58</v>
      </c>
      <c r="H2" s="35">
        <v>51979.92</v>
      </c>
      <c r="I2" s="23">
        <v>5.27</v>
      </c>
      <c r="J2" s="36">
        <v>96426.55</v>
      </c>
      <c r="K2" s="12" t="s">
        <v>10</v>
      </c>
      <c r="L2" s="12">
        <v>4</v>
      </c>
      <c r="M2" s="12">
        <v>1718.98</v>
      </c>
      <c r="N2" s="12">
        <v>9883.08</v>
      </c>
      <c r="O2" s="12">
        <v>1.1100000000000001</v>
      </c>
      <c r="P2" s="12">
        <v>132681.37</v>
      </c>
    </row>
    <row r="3" spans="1:16" x14ac:dyDescent="0.25">
      <c r="A3" s="12" t="s">
        <v>14</v>
      </c>
      <c r="B3" s="11">
        <v>4</v>
      </c>
      <c r="C3" s="12">
        <v>8</v>
      </c>
      <c r="D3" s="11">
        <v>32</v>
      </c>
      <c r="E3" s="12" t="s">
        <v>10</v>
      </c>
      <c r="F3" s="12">
        <v>4</v>
      </c>
      <c r="G3" s="37">
        <v>1020.93</v>
      </c>
      <c r="H3" s="38">
        <v>49101.17</v>
      </c>
      <c r="I3" s="24">
        <v>5.1100000000000003</v>
      </c>
      <c r="J3" s="39">
        <v>4379.3100000000004</v>
      </c>
      <c r="K3" s="11" t="s">
        <v>10</v>
      </c>
      <c r="L3" s="11">
        <v>8</v>
      </c>
      <c r="M3" s="11">
        <v>1205.23</v>
      </c>
      <c r="N3" s="11">
        <v>5607.22</v>
      </c>
      <c r="O3" s="11">
        <v>0.59</v>
      </c>
      <c r="P3" s="11">
        <v>28921.66</v>
      </c>
    </row>
    <row r="4" spans="1:16" x14ac:dyDescent="0.25">
      <c r="A4" s="11" t="s">
        <v>18</v>
      </c>
      <c r="B4" s="12">
        <v>8</v>
      </c>
      <c r="C4" s="11">
        <v>12</v>
      </c>
      <c r="D4" s="12">
        <v>64</v>
      </c>
      <c r="E4" s="11" t="s">
        <v>10</v>
      </c>
      <c r="F4" s="11">
        <v>8</v>
      </c>
      <c r="G4" s="34">
        <v>843.55</v>
      </c>
      <c r="H4" s="35">
        <v>87123.04</v>
      </c>
      <c r="I4" s="23">
        <v>8.8800000000000008</v>
      </c>
      <c r="J4" s="36">
        <v>10435.41</v>
      </c>
      <c r="K4" s="12" t="s">
        <v>10</v>
      </c>
      <c r="L4" s="12">
        <v>16</v>
      </c>
      <c r="M4" s="12">
        <v>1223.55</v>
      </c>
      <c r="N4" s="12">
        <v>2307.06</v>
      </c>
      <c r="O4" s="12">
        <v>0.25</v>
      </c>
      <c r="P4" s="12">
        <v>0</v>
      </c>
    </row>
    <row r="5" spans="1:16" x14ac:dyDescent="0.25">
      <c r="C5" s="12">
        <v>16</v>
      </c>
      <c r="D5" s="11">
        <v>96</v>
      </c>
      <c r="E5" s="12" t="s">
        <v>14</v>
      </c>
      <c r="F5" s="12">
        <v>1</v>
      </c>
      <c r="G5" s="37">
        <v>106.71</v>
      </c>
      <c r="H5" s="38">
        <v>1998.83</v>
      </c>
      <c r="I5" s="24">
        <v>4.8499999999999996</v>
      </c>
      <c r="J5" s="39">
        <v>30.07</v>
      </c>
      <c r="K5" s="11" t="s">
        <v>10</v>
      </c>
      <c r="L5" s="11">
        <v>12</v>
      </c>
      <c r="M5" s="11" t="s">
        <v>599</v>
      </c>
      <c r="N5" s="11" t="s">
        <v>600</v>
      </c>
      <c r="O5" s="11" t="s">
        <v>601</v>
      </c>
      <c r="P5" s="11"/>
    </row>
    <row r="6" spans="1:16" x14ac:dyDescent="0.25">
      <c r="C6" s="11">
        <v>24</v>
      </c>
      <c r="E6" s="11" t="s">
        <v>14</v>
      </c>
      <c r="F6" s="11">
        <v>4</v>
      </c>
      <c r="G6" s="34">
        <v>106.27</v>
      </c>
      <c r="H6" s="35">
        <v>3100.14</v>
      </c>
      <c r="I6" s="23">
        <v>7.52</v>
      </c>
      <c r="J6" s="36">
        <v>59.79</v>
      </c>
      <c r="K6" s="12" t="s">
        <v>10</v>
      </c>
      <c r="L6" s="12">
        <v>24</v>
      </c>
      <c r="M6" s="12" t="s">
        <v>599</v>
      </c>
      <c r="N6" s="12" t="s">
        <v>600</v>
      </c>
      <c r="O6" s="12" t="s">
        <v>601</v>
      </c>
      <c r="P6" s="12"/>
    </row>
    <row r="7" spans="1:16" x14ac:dyDescent="0.25">
      <c r="C7" s="12">
        <v>32</v>
      </c>
      <c r="E7" s="12" t="s">
        <v>14</v>
      </c>
      <c r="F7" s="12">
        <v>8</v>
      </c>
      <c r="G7" s="37">
        <v>55.68</v>
      </c>
      <c r="H7" s="38">
        <v>9837.84</v>
      </c>
      <c r="I7" s="24">
        <v>21.2</v>
      </c>
      <c r="J7" s="39">
        <v>308.61</v>
      </c>
      <c r="K7" s="11" t="s">
        <v>10</v>
      </c>
      <c r="L7" s="11">
        <v>32</v>
      </c>
      <c r="M7" s="11" t="s">
        <v>599</v>
      </c>
      <c r="N7" s="11" t="s">
        <v>600</v>
      </c>
      <c r="O7" s="11" t="s">
        <v>601</v>
      </c>
      <c r="P7" s="11"/>
    </row>
    <row r="8" spans="1:16" x14ac:dyDescent="0.25">
      <c r="C8" s="11">
        <v>64</v>
      </c>
      <c r="E8" s="11" t="s">
        <v>18</v>
      </c>
      <c r="F8" s="11">
        <v>1</v>
      </c>
      <c r="G8" s="34">
        <v>78.72</v>
      </c>
      <c r="H8" s="35">
        <v>462.45</v>
      </c>
      <c r="I8" s="23">
        <v>5.17</v>
      </c>
      <c r="J8" s="36">
        <v>127.2</v>
      </c>
      <c r="K8" s="12" t="s">
        <v>10</v>
      </c>
      <c r="L8" s="12">
        <v>64</v>
      </c>
      <c r="M8" s="12" t="s">
        <v>599</v>
      </c>
      <c r="N8" s="12" t="s">
        <v>600</v>
      </c>
      <c r="O8" s="12" t="s">
        <v>601</v>
      </c>
      <c r="P8" s="12"/>
    </row>
    <row r="9" spans="1:16" x14ac:dyDescent="0.25">
      <c r="E9" s="12" t="s">
        <v>18</v>
      </c>
      <c r="F9" s="12">
        <v>4</v>
      </c>
      <c r="G9" s="37">
        <v>73.540000000000006</v>
      </c>
      <c r="H9" s="38">
        <v>537.37</v>
      </c>
      <c r="I9" s="24">
        <v>5.7</v>
      </c>
      <c r="J9" s="39">
        <v>41.34</v>
      </c>
      <c r="K9" s="11" t="s">
        <v>14</v>
      </c>
      <c r="L9" s="11">
        <v>4</v>
      </c>
      <c r="M9" s="11">
        <v>210.8</v>
      </c>
      <c r="N9" s="11">
        <v>191.24</v>
      </c>
      <c r="O9" s="11">
        <v>0.62</v>
      </c>
      <c r="P9" s="11">
        <v>497.93</v>
      </c>
    </row>
    <row r="10" spans="1:16" x14ac:dyDescent="0.25">
      <c r="E10" s="11" t="s">
        <v>18</v>
      </c>
      <c r="F10" s="11">
        <v>8</v>
      </c>
      <c r="G10" s="34">
        <v>68.63</v>
      </c>
      <c r="H10" s="35">
        <v>2256.56</v>
      </c>
      <c r="I10" s="23">
        <v>22.72</v>
      </c>
      <c r="J10" s="36">
        <v>45.06</v>
      </c>
      <c r="K10" s="12" t="s">
        <v>14</v>
      </c>
      <c r="L10" s="12">
        <v>8</v>
      </c>
      <c r="M10" s="12">
        <v>143.33000000000001</v>
      </c>
      <c r="N10" s="12">
        <v>173.96</v>
      </c>
      <c r="O10" s="12">
        <v>0.46</v>
      </c>
      <c r="P10" s="12">
        <v>132.25</v>
      </c>
    </row>
    <row r="11" spans="1:16" x14ac:dyDescent="0.25">
      <c r="K11" s="11" t="s">
        <v>14</v>
      </c>
      <c r="L11" s="11">
        <v>16</v>
      </c>
      <c r="M11" s="11">
        <v>123.08</v>
      </c>
      <c r="N11" s="11">
        <v>104.11</v>
      </c>
      <c r="O11" s="11">
        <v>0.26</v>
      </c>
      <c r="P11" s="11">
        <v>0</v>
      </c>
    </row>
    <row r="12" spans="1:16" x14ac:dyDescent="0.25">
      <c r="K12" s="12" t="s">
        <v>14</v>
      </c>
      <c r="L12" s="12">
        <v>12</v>
      </c>
      <c r="M12" s="12" t="s">
        <v>599</v>
      </c>
      <c r="N12" s="12" t="s">
        <v>600</v>
      </c>
      <c r="O12" s="12" t="s">
        <v>601</v>
      </c>
      <c r="P12" s="12"/>
    </row>
    <row r="13" spans="1:16" x14ac:dyDescent="0.25">
      <c r="K13" s="11" t="s">
        <v>14</v>
      </c>
      <c r="L13" s="11">
        <v>24</v>
      </c>
      <c r="M13" s="11" t="s">
        <v>599</v>
      </c>
      <c r="N13" s="11" t="s">
        <v>600</v>
      </c>
      <c r="O13" s="11" t="s">
        <v>601</v>
      </c>
      <c r="P13" s="11"/>
    </row>
    <row r="14" spans="1:16" x14ac:dyDescent="0.25">
      <c r="K14" s="12" t="s">
        <v>14</v>
      </c>
      <c r="L14" s="12">
        <v>32</v>
      </c>
      <c r="M14" s="12" t="s">
        <v>599</v>
      </c>
      <c r="N14" s="12" t="s">
        <v>600</v>
      </c>
      <c r="O14" s="12" t="s">
        <v>601</v>
      </c>
      <c r="P14" s="12"/>
    </row>
    <row r="15" spans="1:16" x14ac:dyDescent="0.25">
      <c r="K15" s="11" t="s">
        <v>14</v>
      </c>
      <c r="L15" s="11">
        <v>64</v>
      </c>
      <c r="M15" s="11" t="s">
        <v>599</v>
      </c>
      <c r="N15" s="11" t="s">
        <v>600</v>
      </c>
      <c r="O15" s="11" t="s">
        <v>601</v>
      </c>
      <c r="P15" s="11"/>
    </row>
    <row r="16" spans="1:16" x14ac:dyDescent="0.25">
      <c r="K16" s="12" t="s">
        <v>18</v>
      </c>
      <c r="L16" s="12">
        <v>4</v>
      </c>
      <c r="M16" s="12">
        <v>100.4</v>
      </c>
      <c r="N16" s="12">
        <v>43.77</v>
      </c>
      <c r="O16" s="12">
        <v>0.65</v>
      </c>
      <c r="P16" s="12">
        <v>126.98</v>
      </c>
    </row>
    <row r="17" spans="11:17" x14ac:dyDescent="0.25">
      <c r="K17" s="11" t="s">
        <v>18</v>
      </c>
      <c r="L17" s="11">
        <v>8</v>
      </c>
      <c r="M17" s="11">
        <v>79.09</v>
      </c>
      <c r="N17" s="11">
        <v>59.91</v>
      </c>
      <c r="O17" s="11">
        <v>0.67</v>
      </c>
      <c r="P17" s="11">
        <v>96.87</v>
      </c>
    </row>
    <row r="18" spans="11:17" x14ac:dyDescent="0.25">
      <c r="K18" s="12" t="s">
        <v>18</v>
      </c>
      <c r="L18" s="12">
        <v>16</v>
      </c>
      <c r="M18" s="12">
        <v>72.3</v>
      </c>
      <c r="N18" s="12">
        <v>34.71</v>
      </c>
      <c r="O18" s="12">
        <v>0.36</v>
      </c>
      <c r="P18" s="12">
        <v>0</v>
      </c>
    </row>
    <row r="19" spans="11:17" x14ac:dyDescent="0.25">
      <c r="K19" s="11" t="s">
        <v>18</v>
      </c>
      <c r="L19" s="11">
        <v>12</v>
      </c>
      <c r="M19" s="11" t="s">
        <v>599</v>
      </c>
      <c r="N19" s="11" t="s">
        <v>600</v>
      </c>
      <c r="O19" s="11" t="s">
        <v>601</v>
      </c>
      <c r="P19" s="11"/>
    </row>
    <row r="20" spans="11:17" x14ac:dyDescent="0.25">
      <c r="K20" s="12" t="s">
        <v>18</v>
      </c>
      <c r="L20" s="12">
        <v>24</v>
      </c>
      <c r="M20" s="12" t="s">
        <v>599</v>
      </c>
      <c r="N20" s="12" t="s">
        <v>600</v>
      </c>
      <c r="O20" s="12" t="s">
        <v>601</v>
      </c>
      <c r="P20" s="12"/>
    </row>
    <row r="21" spans="11:17" x14ac:dyDescent="0.25">
      <c r="K21" s="11" t="s">
        <v>18</v>
      </c>
      <c r="L21" s="11">
        <v>32</v>
      </c>
      <c r="M21" s="11" t="s">
        <v>599</v>
      </c>
      <c r="N21" s="11" t="s">
        <v>600</v>
      </c>
      <c r="O21" s="11" t="s">
        <v>601</v>
      </c>
      <c r="P21" s="11"/>
    </row>
    <row r="22" spans="11:17" x14ac:dyDescent="0.25">
      <c r="K22" s="12" t="s">
        <v>18</v>
      </c>
      <c r="L22" s="12">
        <v>64</v>
      </c>
      <c r="M22" s="12" t="s">
        <v>599</v>
      </c>
      <c r="N22" s="12" t="s">
        <v>600</v>
      </c>
      <c r="O22" s="12" t="s">
        <v>601</v>
      </c>
      <c r="P22" s="12"/>
    </row>
    <row r="32" spans="11:17" x14ac:dyDescent="0.25">
      <c r="O32" s="17"/>
      <c r="P32" s="18"/>
      <c r="Q32" s="19"/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9D7ACAE19AEA4188E74FC911064806" ma:contentTypeVersion="13" ma:contentTypeDescription="Create a new document." ma:contentTypeScope="" ma:versionID="e8a604d3f0bb0e89f6632cd1c645b4ed">
  <xsd:schema xmlns:xsd="http://www.w3.org/2001/XMLSchema" xmlns:xs="http://www.w3.org/2001/XMLSchema" xmlns:p="http://schemas.microsoft.com/office/2006/metadata/properties" xmlns:ns2="6656c2dc-2965-4315-a8fd-a4d95559af9c" xmlns:ns3="771465c8-566f-4c1b-b214-95c896f401f4" targetNamespace="http://schemas.microsoft.com/office/2006/metadata/properties" ma:root="true" ma:fieldsID="cb3c6b3dfa206ae2f3e4fe521c8aca1a" ns2:_="" ns3:_="">
    <xsd:import namespace="6656c2dc-2965-4315-a8fd-a4d95559af9c"/>
    <xsd:import namespace="771465c8-566f-4c1b-b214-95c896f401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56c2dc-2965-4315-a8fd-a4d95559af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65a90ea-d0e7-4aae-8ef9-9f5dd1eb65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1465c8-566f-4c1b-b214-95c896f401f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2e371ff-7bfc-413b-a2c2-9d804fe19094}" ma:internalName="TaxCatchAll" ma:showField="CatchAllData" ma:web="771465c8-566f-4c1b-b214-95c896f401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1465c8-566f-4c1b-b214-95c896f401f4" xsi:nil="true"/>
    <lcf76f155ced4ddcb4097134ff3c332f xmlns="6656c2dc-2965-4315-a8fd-a4d95559af9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51360D-7852-429C-A040-28D5BB8F36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56c2dc-2965-4315-a8fd-a4d95559af9c"/>
    <ds:schemaRef ds:uri="771465c8-566f-4c1b-b214-95c896f401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A7DE18-47C2-4734-B595-C8701DC64344}">
  <ds:schemaRefs>
    <ds:schemaRef ds:uri="6656c2dc-2965-4315-a8fd-a4d95559af9c"/>
    <ds:schemaRef ds:uri="http://schemas.microsoft.com/office/2006/documentManagement/types"/>
    <ds:schemaRef ds:uri="http://schemas.openxmlformats.org/package/2006/metadata/core-properties"/>
    <ds:schemaRef ds:uri="771465c8-566f-4c1b-b214-95c896f401f4"/>
    <ds:schemaRef ds:uri="http://purl.org/dc/dcmitype/"/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26E5D28-D9FA-4066-B241-E5CE1A22D2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Parsed Data</vt:lpstr>
      <vt:lpstr>Core Count Scaling</vt:lpstr>
      <vt:lpstr>Agent Count Scaling</vt:lpstr>
      <vt:lpstr>Core Distribution Scaling</vt:lpstr>
      <vt:lpstr>RAM Scaling</vt:lpstr>
      <vt:lpstr>DropDowns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Derks, Hidde (200170)</cp:lastModifiedBy>
  <cp:revision/>
  <dcterms:created xsi:type="dcterms:W3CDTF">2026-05-12T12:37:10Z</dcterms:created>
  <dcterms:modified xsi:type="dcterms:W3CDTF">2026-06-08T13:26:01Z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0x010100309D7ACAE19AEA4188E74FC911064806</vt:lpwstr>
  </property>
  <property fmtid="{D5CDD505-2E9C-101B-9397-08002B2CF9AE}" pid="3" name="MediaServiceImageTags">
    <vt:lpwstr/>
  </property>
</Properties>
</file>